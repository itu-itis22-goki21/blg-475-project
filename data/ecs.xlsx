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va0" sheetId="1" r:id="rId5"/>
    <sheet state="visible" name="Java1" sheetId="2" r:id="rId6"/>
    <sheet state="visible" name="Java5" sheetId="3" r:id="rId7"/>
    <sheet state="visible" name="Java8" sheetId="4" r:id="rId8"/>
    <sheet state="visible" name="Java13" sheetId="5" r:id="rId9"/>
    <sheet state="visible" name="Java16" sheetId="6" r:id="rId10"/>
    <sheet state="visible" name="Java18" sheetId="7" r:id="rId11"/>
    <sheet state="visible" name="Java20" sheetId="8" r:id="rId12"/>
    <sheet state="visible" name="Java25" sheetId="9" r:id="rId13"/>
    <sheet state="visible" name="Java29" sheetId="10" r:id="rId14"/>
    <sheet state="visible" name="Java32" sheetId="11" r:id="rId15"/>
    <sheet state="visible" name="Java40" sheetId="12" r:id="rId16"/>
    <sheet state="visible" name="Java44" sheetId="13" r:id="rId17"/>
    <sheet state="visible" name="Java46" sheetId="14" r:id="rId18"/>
    <sheet state="visible" name="Java48" sheetId="15" r:id="rId19"/>
    <sheet state="visible" name="Java55" sheetId="16" r:id="rId20"/>
    <sheet state="visible" name="Java57" sheetId="17" r:id="rId21"/>
    <sheet state="visible" name="Java58" sheetId="18" r:id="rId22"/>
    <sheet state="visible" name="Java65" sheetId="19" r:id="rId23"/>
    <sheet state="visible" name="Java69" sheetId="20" r:id="rId24"/>
    <sheet state="visible" name="Java76" sheetId="21" r:id="rId25"/>
    <sheet state="visible" name="Java109" sheetId="22" r:id="rId26"/>
    <sheet state="visible" name="Java110" sheetId="23" r:id="rId27"/>
    <sheet state="visible" name="Java124" sheetId="24" r:id="rId28"/>
    <sheet state="visible" name="Java129" sheetId="25" r:id="rId29"/>
    <sheet state="visible" name="Java140" sheetId="26" r:id="rId30"/>
    <sheet state="visible" name="Java141" sheetId="27" r:id="rId31"/>
    <sheet state="visible" name="Java156" sheetId="28" r:id="rId32"/>
    <sheet state="visible" name="Java160" sheetId="29" r:id="rId33"/>
    <sheet state="visible" name="Java162" sheetId="30" r:id="rId34"/>
  </sheets>
  <definedNames/>
  <calcPr/>
</workbook>
</file>

<file path=xl/sharedStrings.xml><?xml version="1.0" encoding="utf-8"?>
<sst xmlns="http://schemas.openxmlformats.org/spreadsheetml/2006/main" count="1709" uniqueCount="358">
  <si>
    <t>Type</t>
  </si>
  <si>
    <t>List size</t>
  </si>
  <si>
    <t>List elements</t>
  </si>
  <si>
    <t>Close pairs</t>
  </si>
  <si>
    <t>Duplicates</t>
  </si>
  <si>
    <t>Threshold</t>
  </si>
  <si>
    <t>Expected output</t>
  </si>
  <si>
    <t>Covered by base tests?</t>
  </si>
  <si>
    <t>Valid</t>
  </si>
  <si>
    <t>N/A</t>
  </si>
  <si>
    <t>0 by definition</t>
  </si>
  <si>
    <t>*</t>
  </si>
  <si>
    <t>No</t>
  </si>
  <si>
    <t>Double</t>
  </si>
  <si>
    <t>&gt;1</t>
  </si>
  <si>
    <t>All double</t>
  </si>
  <si>
    <t>Least dist &gt; th.</t>
  </si>
  <si>
    <t>Non-zero</t>
  </si>
  <si>
    <t>Yes</t>
  </si>
  <si>
    <t>&gt;0</t>
  </si>
  <si>
    <t>No of close pairs</t>
  </si>
  <si>
    <t>Invalid</t>
  </si>
  <si>
    <t>Non-double</t>
  </si>
  <si>
    <t>Error</t>
  </si>
  <si>
    <t>Negative</t>
  </si>
  <si>
    <t>Err./#pairs (all pairs close)</t>
  </si>
  <si>
    <t>Boundary</t>
  </si>
  <si>
    <t>Least dist = th.</t>
  </si>
  <si>
    <t>String</t>
  </si>
  <si>
    <t>No of groups</t>
  </si>
  <si>
    <t>Group type</t>
  </si>
  <si>
    <t>Empty</t>
  </si>
  <si>
    <t>Non-empty</t>
  </si>
  <si>
    <t>Not nested</t>
  </si>
  <si>
    <t>Nested</t>
  </si>
  <si>
    <t>Complex nested</t>
  </si>
  <si>
    <t>&gt;1, separated</t>
  </si>
  <si>
    <t>&gt;1, adjacent</t>
  </si>
  <si>
    <t>Non-string</t>
  </si>
  <si>
    <t>Ill-formed string</t>
  </si>
  <si>
    <t>2, separated</t>
  </si>
  <si>
    <t>2, adjacent</t>
  </si>
  <si>
    <t>Delimiter</t>
  </si>
  <si>
    <t>Typical</t>
  </si>
  <si>
    <t>All int</t>
  </si>
  <si>
    <t>int</t>
  </si>
  <si>
    <t>No error</t>
  </si>
  <si>
    <t>Non-int</t>
  </si>
  <si>
    <t>Empty list</t>
  </si>
  <si>
    <t>Same as input</t>
  </si>
  <si>
    <t>Types</t>
  </si>
  <si>
    <t>Signs</t>
  </si>
  <si>
    <t>Magnitudes</t>
  </si>
  <si>
    <t>All positive</t>
  </si>
  <si>
    <t>All typical</t>
  </si>
  <si>
    <t>Some very small</t>
  </si>
  <si>
    <t>Some very large</t>
  </si>
  <si>
    <t>Some negative</t>
  </si>
  <si>
    <t>Some non-int</t>
  </si>
  <si>
    <t>(0, 1)</t>
  </si>
  <si>
    <t>Positive</t>
  </si>
  <si>
    <t>(a, a) where a is the list element</t>
  </si>
  <si>
    <t>a</t>
  </si>
  <si>
    <t>b</t>
  </si>
  <si>
    <t>a-b relationship</t>
  </si>
  <si>
    <t>Positive int</t>
  </si>
  <si>
    <t>Coprime</t>
  </si>
  <si>
    <t>a divides b</t>
  </si>
  <si>
    <t>b divides a</t>
  </si>
  <si>
    <t>gcd&gt;1, unequal</t>
  </si>
  <si>
    <t>gcd(a, b)</t>
  </si>
  <si>
    <t>Negative int</t>
  </si>
  <si>
    <t>gcd(a, abs(b))</t>
  </si>
  <si>
    <t>gcd(abs(a), b)</t>
  </si>
  <si>
    <t>gcd(abs(a), abs(b))</t>
  </si>
  <si>
    <t>Equal</t>
  </si>
  <si>
    <t>a (or b)</t>
  </si>
  <si>
    <t>abs(b)</t>
  </si>
  <si>
    <t>abs(a)</t>
  </si>
  <si>
    <t>Small pos. int</t>
  </si>
  <si>
    <t>Large pos. int</t>
  </si>
  <si>
    <t>Characters</t>
  </si>
  <si>
    <t>Covered by base cases?</t>
  </si>
  <si>
    <t>Empty (0-length)</t>
  </si>
  <si>
    <t>Typical length</t>
  </si>
  <si>
    <t>Uniform case</t>
  </si>
  <si>
    <t>Mixed case</t>
  </si>
  <si>
    <t>Invalid encoding</t>
  </si>
  <si>
    <t xml:space="preserve">None </t>
  </si>
  <si>
    <t>Substring</t>
  </si>
  <si>
    <t>Substring length</t>
  </si>
  <si>
    <t>Occurrences</t>
  </si>
  <si>
    <t>Unclear</t>
  </si>
  <si>
    <t>Could be 0</t>
  </si>
  <si>
    <t>&gt; string length</t>
  </si>
  <si>
    <t>&lt;= string length</t>
  </si>
  <si>
    <t>&gt;1, no overlap</t>
  </si>
  <si>
    <t>No of occurrences</t>
  </si>
  <si>
    <t>&gt;1, overlapping</t>
  </si>
  <si>
    <t>string length</t>
  </si>
  <si>
    <t>1 (exact match)</t>
  </si>
  <si>
    <t>Closest pairs</t>
  </si>
  <si>
    <t>Only one</t>
  </si>
  <si>
    <t>Closest pair</t>
  </si>
  <si>
    <t>One by defn</t>
  </si>
  <si>
    <t>The duplicates</t>
  </si>
  <si>
    <t>Multiple (tied)</t>
  </si>
  <si>
    <t>First closest pair</t>
  </si>
  <si>
    <t>&lt;2</t>
  </si>
  <si>
    <t>None by defn</t>
  </si>
  <si>
    <t>The two elements</t>
  </si>
  <si>
    <t>Input type</t>
  </si>
  <si>
    <t>Input</t>
  </si>
  <si>
    <t>Small non-prime</t>
  </si>
  <si>
    <t>Large non-prime</t>
  </si>
  <si>
    <t>Prime (not 2)</t>
  </si>
  <si>
    <t>[the prime itself]</t>
  </si>
  <si>
    <t>[2]</t>
  </si>
  <si>
    <t>Prefix</t>
  </si>
  <si>
    <t>Matches</t>
  </si>
  <si>
    <t>Cases</t>
  </si>
  <si>
    <t>Empty string</t>
  </si>
  <si>
    <t>All by defn</t>
  </si>
  <si>
    <t>The entire list</t>
  </si>
  <si>
    <t>None</t>
  </si>
  <si>
    <t>Uniform</t>
  </si>
  <si>
    <t>At least one</t>
  </si>
  <si>
    <t>The matches</t>
  </si>
  <si>
    <t>Longer than all strings</t>
  </si>
  <si>
    <t>Mixed</t>
  </si>
  <si>
    <t>Only case-sensitive matches</t>
  </si>
  <si>
    <t>Non-string elements</t>
  </si>
  <si>
    <t>Strings</t>
  </si>
  <si>
    <t>Some string in list</t>
  </si>
  <si>
    <t>At least one by defn</t>
  </si>
  <si>
    <t>The string included</t>
  </si>
  <si>
    <t>Degree</t>
  </si>
  <si>
    <t>No of real roots</t>
  </si>
  <si>
    <t>Repeated roots?</t>
  </si>
  <si>
    <t>Coefficients</t>
  </si>
  <si>
    <t>Flat region?</t>
  </si>
  <si>
    <t>1 by defn</t>
  </si>
  <si>
    <t>No by defn</t>
  </si>
  <si>
    <t>The root</t>
  </si>
  <si>
    <t>&gt;1, odd</t>
  </si>
  <si>
    <t>One of the roots</t>
  </si>
  <si>
    <t>Small</t>
  </si>
  <si>
    <t>Large</t>
  </si>
  <si>
    <t>&gt;1, even</t>
  </si>
  <si>
    <t>Infinite by defn</t>
  </si>
  <si>
    <t>All 0</t>
  </si>
  <si>
    <t>&gt;1, all far from 0</t>
  </si>
  <si>
    <t>0-sum triples</t>
  </si>
  <si>
    <t>Elements</t>
  </si>
  <si>
    <t>At least 3</t>
  </si>
  <si>
    <t>All negative</t>
  </si>
  <si>
    <t>&lt;3</t>
  </si>
  <si>
    <t>Yes by defn</t>
  </si>
  <si>
    <t>x</t>
  </si>
  <si>
    <t>Base</t>
  </si>
  <si>
    <t>x in new base</t>
  </si>
  <si>
    <t>x in base 2</t>
  </si>
  <si>
    <t>x itself</t>
  </si>
  <si>
    <t>Valid?</t>
  </si>
  <si>
    <t>&lt;0</t>
  </si>
  <si>
    <t>&lt;=1</t>
  </si>
  <si>
    <t>&gt;10</t>
  </si>
  <si>
    <t>n</t>
  </si>
  <si>
    <t>fib4(n)</t>
  </si>
  <si>
    <t>Negative n</t>
  </si>
  <si>
    <t>Non-int n</t>
  </si>
  <si>
    <t>Palindrome?</t>
  </si>
  <si>
    <t>Empty (0 length)</t>
  </si>
  <si>
    <t>By definition</t>
  </si>
  <si>
    <t>Same case, no whitespace</t>
  </si>
  <si>
    <t>Whitespaces</t>
  </si>
  <si>
    <t>Empty (null)</t>
  </si>
  <si>
    <t>Length 1</t>
  </si>
  <si>
    <t>Valid encoding</t>
  </si>
  <si>
    <t>Length 2</t>
  </si>
  <si>
    <t>Typical (small)</t>
  </si>
  <si>
    <t>nth Fibonacci number</t>
  </si>
  <si>
    <t>Large (&gt;50)</t>
  </si>
  <si>
    <t>Negative integer</t>
  </si>
  <si>
    <t>Non-integer type</t>
  </si>
  <si>
    <t>Monotonicity</t>
  </si>
  <si>
    <t>Constant segment?</t>
  </si>
  <si>
    <t>Both by defn</t>
  </si>
  <si>
    <t>Increasing</t>
  </si>
  <si>
    <t>Decreasing</t>
  </si>
  <si>
    <t>Neither</t>
  </si>
  <si>
    <t>Typical with non-numeric elements</t>
  </si>
  <si>
    <t>All constant</t>
  </si>
  <si>
    <t>List 1</t>
  </si>
  <si>
    <t>List 2</t>
  </si>
  <si>
    <t>Commons</t>
  </si>
  <si>
    <t>Sorted</t>
  </si>
  <si>
    <t>Commons as is</t>
  </si>
  <si>
    <t>Unsorted</t>
  </si>
  <si>
    <t>Commons sorted</t>
  </si>
  <si>
    <t>Non-integers</t>
  </si>
  <si>
    <t>The common</t>
  </si>
  <si>
    <t>x type</t>
  </si>
  <si>
    <t>shift type</t>
  </si>
  <si>
    <t>x no of digits</t>
  </si>
  <si>
    <t>shift</t>
  </si>
  <si>
    <t>&lt;x no of digits</t>
  </si>
  <si>
    <t>&gt;x no of digits</t>
  </si>
  <si>
    <t>x itself (no err.)</t>
  </si>
  <si>
    <t>non-int</t>
  </si>
  <si>
    <t xml:space="preserve">int </t>
  </si>
  <si>
    <t>Integers</t>
  </si>
  <si>
    <t>Condition true?</t>
  </si>
  <si>
    <t>The integer</t>
  </si>
  <si>
    <t>All nonpositive</t>
  </si>
  <si>
    <t>Some positive</t>
  </si>
  <si>
    <t>Only for one</t>
  </si>
  <si>
    <t>The one</t>
  </si>
  <si>
    <t>For mutliple</t>
  </si>
  <si>
    <t>The largest one</t>
  </si>
  <si>
    <t>1, rest *</t>
  </si>
  <si>
    <t>Equal to its freq</t>
  </si>
  <si>
    <t>x simple power?</t>
  </si>
  <si>
    <t>Any int</t>
  </si>
  <si>
    <t>Not 1, positive</t>
  </si>
  <si>
    <t>Not 1, negative</t>
  </si>
  <si>
    <t>Sorted?</t>
  </si>
  <si>
    <t>Sortable by shift?</t>
  </si>
  <si>
    <t>By 0 shifts</t>
  </si>
  <si>
    <t>Already</t>
  </si>
  <si>
    <t>By 1 shift</t>
  </si>
  <si>
    <t>By &gt;1 shift</t>
  </si>
  <si>
    <t>No (two decreases)</t>
  </si>
  <si>
    <t>&gt;0, non-ints</t>
  </si>
  <si>
    <t>All even already</t>
  </si>
  <si>
    <t>x odds</t>
  </si>
  <si>
    <t>&lt;x elements</t>
  </si>
  <si>
    <t>All odds</t>
  </si>
  <si>
    <t>&lt;x evens</t>
  </si>
  <si>
    <t>x evens</t>
  </si>
  <si>
    <t>&gt;x evens</t>
  </si>
  <si>
    <t>Non-ints</t>
  </si>
  <si>
    <t>Month</t>
  </si>
  <si>
    <t>Day</t>
  </si>
  <si>
    <t>Not in XX-XX-XXXX format</t>
  </si>
  <si>
    <t>31-day</t>
  </si>
  <si>
    <t>01-31</t>
  </si>
  <si>
    <t>32-99</t>
  </si>
  <si>
    <t>30-day</t>
  </si>
  <si>
    <t>01-30</t>
  </si>
  <si>
    <t>30-99</t>
  </si>
  <si>
    <t>February</t>
  </si>
  <si>
    <t>01-29</t>
  </si>
  <si>
    <t>00</t>
  </si>
  <si>
    <t>13-99</t>
  </si>
  <si>
    <t>01</t>
  </si>
  <si>
    <t>04</t>
  </si>
  <si>
    <t>02</t>
  </si>
  <si>
    <t>Grid</t>
  </si>
  <si>
    <t>k</t>
  </si>
  <si>
    <t>Pos of min value</t>
  </si>
  <si>
    <t>Condition</t>
  </si>
  <si>
    <t>Covered?</t>
  </si>
  <si>
    <t>Any</t>
  </si>
  <si>
    <t>No movement</t>
  </si>
  <si>
    <t>Min value</t>
  </si>
  <si>
    <t>Only one move</t>
  </si>
  <si>
    <t>Min value, min neighbor</t>
  </si>
  <si>
    <t>Corner</t>
  </si>
  <si>
    <t>Can revisit</t>
  </si>
  <si>
    <t>Bounce in corner</t>
  </si>
  <si>
    <t>Cycle</t>
  </si>
  <si>
    <t>More than N^2</t>
  </si>
  <si>
    <t>Revisit needed</t>
  </si>
  <si>
    <t>Not N by N</t>
  </si>
  <si>
    <t>N less than 2</t>
  </si>
  <si>
    <t>Nonpositive</t>
  </si>
  <si>
    <t>Repeated ints</t>
  </si>
  <si>
    <t>Non-int grid entries</t>
  </si>
  <si>
    <t>Spaces</t>
  </si>
  <si>
    <t>Position</t>
  </si>
  <si>
    <t>No change</t>
  </si>
  <si>
    <t>Replace w _</t>
  </si>
  <si>
    <t>All 1 or 2 runs</t>
  </si>
  <si>
    <t>All 3+ runs</t>
  </si>
  <si>
    <t>Replace w -</t>
  </si>
  <si>
    <t>Mixed runs</t>
  </si>
  <si>
    <t>Replace correctly</t>
  </si>
  <si>
    <t>Non-string input</t>
  </si>
  <si>
    <t>Digits</t>
  </si>
  <si>
    <t>Dots</t>
  </si>
  <si>
    <t>Extension</t>
  </si>
  <si>
    <t>At most 3</t>
  </si>
  <si>
    <t>More than 3</t>
  </si>
  <si>
    <t>More than 1</t>
  </si>
  <si>
    <t>Non-letter start</t>
  </si>
  <si>
    <t>Case sens. inv.</t>
  </si>
  <si>
    <t>One letter</t>
  </si>
  <si>
    <t>number</t>
  </si>
  <si>
    <t>i-iii</t>
  </si>
  <si>
    <t>iv</t>
  </si>
  <si>
    <t>v-viii</t>
  </si>
  <si>
    <t>ix</t>
  </si>
  <si>
    <t>10-39</t>
  </si>
  <si>
    <t>x-xxxix</t>
  </si>
  <si>
    <t>40-49</t>
  </si>
  <si>
    <t>xl-xlix</t>
  </si>
  <si>
    <t>50-89</t>
  </si>
  <si>
    <t>l-lxxxix</t>
  </si>
  <si>
    <t>90-99</t>
  </si>
  <si>
    <t>xc-xcix</t>
  </si>
  <si>
    <t>100-399</t>
  </si>
  <si>
    <t>c-cccxcix</t>
  </si>
  <si>
    <t>400-499</t>
  </si>
  <si>
    <t>cd-cdxcix</t>
  </si>
  <si>
    <t>500-899</t>
  </si>
  <si>
    <t>d-dcccxcix</t>
  </si>
  <si>
    <t>900-999</t>
  </si>
  <si>
    <t>cm-cmxcix</t>
  </si>
  <si>
    <t>m</t>
  </si>
  <si>
    <t>&gt;1000</t>
  </si>
  <si>
    <t>&lt;1</t>
  </si>
  <si>
    <t>Operators</t>
  </si>
  <si>
    <t>No of operands</t>
  </si>
  <si>
    <t>Only +</t>
  </si>
  <si>
    <t>Left to right add</t>
  </si>
  <si>
    <t>Only -</t>
  </si>
  <si>
    <t>Left to right sub</t>
  </si>
  <si>
    <t>Only *</t>
  </si>
  <si>
    <t>Left to right prod</t>
  </si>
  <si>
    <t>Only /</t>
  </si>
  <si>
    <t>Left to right div</t>
  </si>
  <si>
    <t>Only **</t>
  </si>
  <si>
    <t>Left to right exp</t>
  </si>
  <si>
    <t>Plus and minus</t>
  </si>
  <si>
    <t xml:space="preserve">Plus, min same </t>
  </si>
  <si>
    <t>*, plus, minus</t>
  </si>
  <si>
    <t>* higher</t>
  </si>
  <si>
    <t>/, plus, minus</t>
  </si>
  <si>
    <t>/ higher</t>
  </si>
  <si>
    <t>*, /</t>
  </si>
  <si>
    <t>*, / same</t>
  </si>
  <si>
    <t>**, *, /</t>
  </si>
  <si>
    <t>** higher</t>
  </si>
  <si>
    <t>All</t>
  </si>
  <si>
    <t>Correct eval</t>
  </si>
  <si>
    <t>Mismatched</t>
  </si>
  <si>
    <t>Chars</t>
  </si>
  <si>
    <t>Optional.empty()</t>
  </si>
  <si>
    <t>ASCII, no spaces</t>
  </si>
  <si>
    <t>Valid hash</t>
  </si>
  <si>
    <t>Spaces inside</t>
  </si>
  <si>
    <t>Lead/trail space</t>
  </si>
  <si>
    <t>Non-ASCII</t>
  </si>
  <si>
    <t>Long</t>
  </si>
  <si>
    <t>ASCII</t>
  </si>
  <si>
    <t>ASCII, mixed case</t>
  </si>
  <si>
    <t>Hash should change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</si>
</sst>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0" xfId="0" applyFont="1" applyNumberFormat="1"/>
    <xf borderId="0" fillId="0" fontId="2" numFmtId="0" xfId="0" applyAlignment="1" applyFont="1">
      <alignment vertical="bottom"/>
    </xf>
    <xf borderId="0" fillId="0" fontId="1" numFmtId="10" xfId="0" applyAlignment="1" applyFont="1" applyNumberFormat="1">
      <alignment readingOrder="0"/>
    </xf>
    <xf borderId="0" fillId="0" fontId="2" numFmtId="0" xfId="0" applyAlignment="1" applyFont="1">
      <alignment readingOrder="0" vertical="bottom"/>
    </xf>
    <xf borderId="0" fillId="0" fontId="1" numFmtId="49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 t="s">
        <v>8</v>
      </c>
      <c r="B2" s="1">
        <v>0.0</v>
      </c>
      <c r="C2" s="1" t="s">
        <v>9</v>
      </c>
      <c r="D2" s="1" t="s">
        <v>10</v>
      </c>
      <c r="E2" s="1" t="s">
        <v>10</v>
      </c>
      <c r="F2" s="1" t="s">
        <v>11</v>
      </c>
      <c r="G2" s="1">
        <v>0.0</v>
      </c>
      <c r="H2" s="1" t="s">
        <v>12</v>
      </c>
    </row>
    <row r="3">
      <c r="A3" s="1" t="s">
        <v>8</v>
      </c>
      <c r="B3" s="1">
        <v>1.0</v>
      </c>
      <c r="C3" s="1" t="s">
        <v>13</v>
      </c>
      <c r="D3" s="1" t="s">
        <v>10</v>
      </c>
      <c r="E3" s="1" t="s">
        <v>10</v>
      </c>
      <c r="F3" s="1" t="s">
        <v>11</v>
      </c>
      <c r="G3" s="1">
        <v>0.0</v>
      </c>
      <c r="H3" s="1" t="s">
        <v>12</v>
      </c>
    </row>
    <row r="4">
      <c r="A4" s="1" t="s">
        <v>8</v>
      </c>
      <c r="B4" s="1" t="s">
        <v>14</v>
      </c>
      <c r="C4" s="1" t="s">
        <v>15</v>
      </c>
      <c r="D4" s="1" t="s">
        <v>16</v>
      </c>
      <c r="E4" s="1" t="s">
        <v>10</v>
      </c>
      <c r="F4" s="1" t="s">
        <v>17</v>
      </c>
      <c r="G4" s="1">
        <v>0.0</v>
      </c>
      <c r="H4" s="1" t="s">
        <v>18</v>
      </c>
    </row>
    <row r="5">
      <c r="A5" s="1" t="s">
        <v>8</v>
      </c>
      <c r="B5" s="1" t="s">
        <v>14</v>
      </c>
      <c r="C5" s="1" t="s">
        <v>15</v>
      </c>
      <c r="D5" s="1" t="s">
        <v>19</v>
      </c>
      <c r="E5" s="1" t="s">
        <v>12</v>
      </c>
      <c r="F5" s="1" t="s">
        <v>17</v>
      </c>
      <c r="G5" s="1" t="s">
        <v>20</v>
      </c>
      <c r="H5" s="1" t="s">
        <v>18</v>
      </c>
    </row>
    <row r="6">
      <c r="A6" s="1" t="s">
        <v>8</v>
      </c>
      <c r="B6" s="1" t="s">
        <v>14</v>
      </c>
      <c r="C6" s="1" t="s">
        <v>15</v>
      </c>
      <c r="D6" s="1" t="s">
        <v>19</v>
      </c>
      <c r="E6" s="1" t="s">
        <v>18</v>
      </c>
      <c r="F6" s="1" t="s">
        <v>17</v>
      </c>
      <c r="G6" s="1" t="s">
        <v>20</v>
      </c>
      <c r="H6" s="1" t="s">
        <v>18</v>
      </c>
    </row>
    <row r="7">
      <c r="A7" s="1" t="s">
        <v>8</v>
      </c>
      <c r="B7" s="1" t="s">
        <v>14</v>
      </c>
      <c r="C7" s="1" t="s">
        <v>15</v>
      </c>
      <c r="D7" s="1" t="s">
        <v>19</v>
      </c>
      <c r="E7" s="1" t="s">
        <v>18</v>
      </c>
      <c r="F7" s="1">
        <v>0.0</v>
      </c>
      <c r="G7" s="1">
        <v>0.0</v>
      </c>
      <c r="H7" s="1" t="s">
        <v>12</v>
      </c>
    </row>
    <row r="8">
      <c r="A8" s="1" t="s">
        <v>21</v>
      </c>
      <c r="B8" s="1" t="s">
        <v>14</v>
      </c>
      <c r="C8" s="1" t="s">
        <v>22</v>
      </c>
      <c r="D8" s="1" t="s">
        <v>9</v>
      </c>
      <c r="E8" s="1" t="s">
        <v>9</v>
      </c>
      <c r="F8" s="1" t="s">
        <v>11</v>
      </c>
      <c r="G8" s="1" t="s">
        <v>23</v>
      </c>
      <c r="H8" s="1" t="s">
        <v>12</v>
      </c>
    </row>
    <row r="9">
      <c r="A9" s="1" t="s">
        <v>21</v>
      </c>
      <c r="B9" s="1" t="s">
        <v>14</v>
      </c>
      <c r="C9" s="1" t="s">
        <v>15</v>
      </c>
      <c r="D9" s="1" t="s">
        <v>11</v>
      </c>
      <c r="E9" s="1" t="s">
        <v>11</v>
      </c>
      <c r="F9" s="1" t="s">
        <v>24</v>
      </c>
      <c r="G9" s="1" t="s">
        <v>25</v>
      </c>
      <c r="H9" s="1" t="s">
        <v>12</v>
      </c>
    </row>
    <row r="10">
      <c r="A10" s="1" t="s">
        <v>26</v>
      </c>
      <c r="B10" s="1" t="s">
        <v>14</v>
      </c>
      <c r="C10" s="1" t="s">
        <v>15</v>
      </c>
      <c r="D10" s="1" t="s">
        <v>27</v>
      </c>
      <c r="E10" s="1" t="s">
        <v>10</v>
      </c>
      <c r="F10" s="1" t="s">
        <v>17</v>
      </c>
      <c r="G10" s="1">
        <v>0.0</v>
      </c>
      <c r="H10" s="1" t="s">
        <v>12</v>
      </c>
    </row>
    <row r="11">
      <c r="H11" s="2">
        <f>COUNTIF(H2:H10, "Yes")/COUNTA(H2:H10)</f>
        <v>0.3333333333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28</v>
      </c>
      <c r="C1" s="1" t="s">
        <v>29</v>
      </c>
      <c r="D1" s="1" t="s">
        <v>30</v>
      </c>
      <c r="E1" s="1" t="s">
        <v>6</v>
      </c>
      <c r="F1" s="1" t="s">
        <v>7</v>
      </c>
    </row>
    <row r="2">
      <c r="A2" s="1" t="s">
        <v>8</v>
      </c>
      <c r="B2" s="1" t="s">
        <v>31</v>
      </c>
      <c r="C2" s="1" t="s">
        <v>10</v>
      </c>
      <c r="D2" s="1" t="s">
        <v>9</v>
      </c>
      <c r="E2" s="1">
        <v>0.0</v>
      </c>
      <c r="F2" s="1" t="s">
        <v>12</v>
      </c>
    </row>
    <row r="3">
      <c r="A3" s="1" t="s">
        <v>8</v>
      </c>
      <c r="B3" s="1" t="s">
        <v>32</v>
      </c>
      <c r="C3" s="1">
        <v>0.0</v>
      </c>
      <c r="D3" s="1" t="s">
        <v>9</v>
      </c>
      <c r="E3" s="1">
        <v>0.0</v>
      </c>
      <c r="F3" s="1" t="s">
        <v>12</v>
      </c>
    </row>
    <row r="4">
      <c r="A4" s="1" t="s">
        <v>8</v>
      </c>
      <c r="B4" s="1" t="s">
        <v>32</v>
      </c>
      <c r="C4" s="1">
        <v>1.0</v>
      </c>
      <c r="D4" s="1" t="s">
        <v>33</v>
      </c>
      <c r="E4" s="1">
        <v>1.0</v>
      </c>
      <c r="F4" s="1" t="s">
        <v>12</v>
      </c>
    </row>
    <row r="5">
      <c r="A5" s="1" t="s">
        <v>8</v>
      </c>
      <c r="B5" s="1" t="s">
        <v>32</v>
      </c>
      <c r="C5" s="1">
        <v>1.0</v>
      </c>
      <c r="D5" s="1" t="s">
        <v>34</v>
      </c>
      <c r="E5" s="1">
        <v>1.0</v>
      </c>
      <c r="F5" s="1" t="s">
        <v>12</v>
      </c>
    </row>
    <row r="6">
      <c r="A6" s="1" t="s">
        <v>8</v>
      </c>
      <c r="B6" s="1" t="s">
        <v>32</v>
      </c>
      <c r="C6" s="1">
        <v>1.0</v>
      </c>
      <c r="D6" s="1" t="s">
        <v>35</v>
      </c>
      <c r="E6" s="1">
        <v>1.0</v>
      </c>
      <c r="F6" s="1" t="s">
        <v>12</v>
      </c>
    </row>
    <row r="7">
      <c r="A7" s="1" t="s">
        <v>8</v>
      </c>
      <c r="B7" s="1" t="s">
        <v>32</v>
      </c>
      <c r="C7" s="1" t="s">
        <v>36</v>
      </c>
      <c r="D7" s="1" t="s">
        <v>35</v>
      </c>
      <c r="E7" s="1" t="s">
        <v>29</v>
      </c>
      <c r="F7" s="1" t="s">
        <v>18</v>
      </c>
    </row>
    <row r="8">
      <c r="A8" s="1" t="s">
        <v>8</v>
      </c>
      <c r="B8" s="1" t="s">
        <v>32</v>
      </c>
      <c r="C8" s="1" t="s">
        <v>37</v>
      </c>
      <c r="D8" s="1" t="s">
        <v>35</v>
      </c>
      <c r="E8" s="1" t="s">
        <v>29</v>
      </c>
      <c r="F8" s="1" t="s">
        <v>18</v>
      </c>
    </row>
    <row r="9">
      <c r="A9" s="1" t="s">
        <v>21</v>
      </c>
      <c r="B9" s="1" t="s">
        <v>38</v>
      </c>
      <c r="C9" s="1" t="s">
        <v>9</v>
      </c>
      <c r="D9" s="1" t="s">
        <v>9</v>
      </c>
      <c r="E9" s="1" t="s">
        <v>23</v>
      </c>
      <c r="F9" s="1" t="s">
        <v>12</v>
      </c>
    </row>
    <row r="10">
      <c r="A10" s="1" t="s">
        <v>21</v>
      </c>
      <c r="B10" s="1" t="s">
        <v>39</v>
      </c>
      <c r="C10" s="1" t="s">
        <v>9</v>
      </c>
      <c r="D10" s="1" t="s">
        <v>9</v>
      </c>
      <c r="E10" s="1" t="s">
        <v>23</v>
      </c>
      <c r="F10" s="1" t="s">
        <v>12</v>
      </c>
    </row>
    <row r="11">
      <c r="A11" s="1" t="s">
        <v>26</v>
      </c>
      <c r="B11" s="1" t="s">
        <v>32</v>
      </c>
      <c r="C11" s="1" t="s">
        <v>40</v>
      </c>
      <c r="D11" s="1" t="s">
        <v>33</v>
      </c>
      <c r="E11" s="1">
        <v>2.0</v>
      </c>
      <c r="F11" s="1" t="s">
        <v>12</v>
      </c>
    </row>
    <row r="12">
      <c r="A12" s="1" t="s">
        <v>26</v>
      </c>
      <c r="B12" s="1" t="s">
        <v>32</v>
      </c>
      <c r="C12" s="1" t="s">
        <v>41</v>
      </c>
      <c r="D12" s="1" t="s">
        <v>33</v>
      </c>
      <c r="E12" s="1">
        <v>2.0</v>
      </c>
      <c r="F12" s="1" t="s">
        <v>12</v>
      </c>
    </row>
    <row r="13">
      <c r="F13" s="2">
        <f>COUNTIF(F2:F12,"Yes")/COUNTA(F2:F12)</f>
        <v>0.1818181818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42</v>
      </c>
      <c r="E1" s="1" t="s">
        <v>6</v>
      </c>
      <c r="F1" s="1" t="s">
        <v>7</v>
      </c>
    </row>
    <row r="2">
      <c r="A2" s="1" t="s">
        <v>8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18</v>
      </c>
    </row>
    <row r="3">
      <c r="A3" s="1" t="s">
        <v>21</v>
      </c>
      <c r="B3" s="1" t="s">
        <v>43</v>
      </c>
      <c r="C3" s="1" t="s">
        <v>47</v>
      </c>
      <c r="D3" s="1" t="s">
        <v>45</v>
      </c>
      <c r="E3" s="1" t="s">
        <v>23</v>
      </c>
      <c r="F3" s="1" t="s">
        <v>12</v>
      </c>
    </row>
    <row r="4">
      <c r="A4" s="1" t="s">
        <v>21</v>
      </c>
      <c r="B4" s="1" t="s">
        <v>43</v>
      </c>
      <c r="C4" s="1" t="s">
        <v>45</v>
      </c>
      <c r="D4" s="1" t="s">
        <v>47</v>
      </c>
      <c r="E4" s="1" t="s">
        <v>23</v>
      </c>
      <c r="F4" s="1" t="s">
        <v>12</v>
      </c>
    </row>
    <row r="5">
      <c r="A5" s="1" t="s">
        <v>26</v>
      </c>
      <c r="B5" s="1">
        <v>0.0</v>
      </c>
      <c r="D5" s="1" t="s">
        <v>45</v>
      </c>
      <c r="E5" s="1" t="s">
        <v>48</v>
      </c>
      <c r="F5" s="1" t="s">
        <v>18</v>
      </c>
    </row>
    <row r="6">
      <c r="A6" s="1" t="s">
        <v>26</v>
      </c>
      <c r="B6" s="1">
        <v>1.0</v>
      </c>
      <c r="C6" s="1" t="s">
        <v>45</v>
      </c>
      <c r="D6" s="1" t="s">
        <v>45</v>
      </c>
      <c r="E6" s="1" t="s">
        <v>49</v>
      </c>
      <c r="F6" s="1" t="s">
        <v>12</v>
      </c>
    </row>
    <row r="7">
      <c r="A7" s="1" t="s">
        <v>26</v>
      </c>
      <c r="B7" s="1">
        <v>2.0</v>
      </c>
      <c r="C7" s="1" t="s">
        <v>44</v>
      </c>
      <c r="D7" s="1" t="s">
        <v>45</v>
      </c>
      <c r="E7" s="1" t="s">
        <v>46</v>
      </c>
      <c r="F7" s="1" t="s">
        <v>12</v>
      </c>
    </row>
    <row r="8">
      <c r="F8" s="2">
        <f>COUNTIF(F2:F7, "Yes")/COUNTA(F2:F7)</f>
        <v>0.3333333333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50</v>
      </c>
      <c r="D1" s="1" t="s">
        <v>51</v>
      </c>
      <c r="E1" s="1" t="s">
        <v>52</v>
      </c>
      <c r="F1" s="1" t="s">
        <v>6</v>
      </c>
      <c r="G1" s="1" t="s">
        <v>7</v>
      </c>
    </row>
    <row r="2">
      <c r="A2" s="1" t="s">
        <v>8</v>
      </c>
      <c r="B2" s="1" t="s">
        <v>43</v>
      </c>
      <c r="C2" s="1" t="s">
        <v>44</v>
      </c>
      <c r="D2" s="1" t="s">
        <v>53</v>
      </c>
      <c r="E2" s="1" t="s">
        <v>54</v>
      </c>
      <c r="F2" s="1" t="s">
        <v>46</v>
      </c>
      <c r="G2" s="1" t="s">
        <v>18</v>
      </c>
    </row>
    <row r="3">
      <c r="A3" s="1" t="s">
        <v>8</v>
      </c>
      <c r="B3" s="1" t="s">
        <v>43</v>
      </c>
      <c r="C3" s="1" t="s">
        <v>44</v>
      </c>
      <c r="D3" s="1" t="s">
        <v>53</v>
      </c>
      <c r="E3" s="1" t="s">
        <v>55</v>
      </c>
      <c r="F3" s="1" t="s">
        <v>46</v>
      </c>
      <c r="G3" s="1" t="s">
        <v>12</v>
      </c>
    </row>
    <row r="4">
      <c r="A4" s="1" t="s">
        <v>8</v>
      </c>
      <c r="B4" s="1" t="s">
        <v>43</v>
      </c>
      <c r="C4" s="1" t="s">
        <v>44</v>
      </c>
      <c r="D4" s="1" t="s">
        <v>53</v>
      </c>
      <c r="E4" s="1" t="s">
        <v>56</v>
      </c>
      <c r="F4" s="1" t="s">
        <v>46</v>
      </c>
      <c r="G4" s="1" t="s">
        <v>12</v>
      </c>
    </row>
    <row r="5">
      <c r="A5" s="1" t="s">
        <v>8</v>
      </c>
      <c r="B5" s="1" t="s">
        <v>43</v>
      </c>
      <c r="C5" s="1" t="s">
        <v>44</v>
      </c>
      <c r="D5" s="1" t="s">
        <v>57</v>
      </c>
      <c r="E5" s="1" t="s">
        <v>54</v>
      </c>
      <c r="F5" s="1" t="s">
        <v>46</v>
      </c>
      <c r="G5" s="1" t="s">
        <v>12</v>
      </c>
    </row>
    <row r="6">
      <c r="A6" s="1" t="s">
        <v>21</v>
      </c>
      <c r="B6" s="1" t="s">
        <v>43</v>
      </c>
      <c r="C6" s="1" t="s">
        <v>58</v>
      </c>
      <c r="D6" s="1" t="s">
        <v>11</v>
      </c>
      <c r="E6" s="1" t="s">
        <v>11</v>
      </c>
      <c r="F6" s="1" t="s">
        <v>23</v>
      </c>
      <c r="G6" s="1" t="s">
        <v>12</v>
      </c>
    </row>
    <row r="7">
      <c r="A7" s="1" t="s">
        <v>26</v>
      </c>
      <c r="B7" s="1">
        <v>0.0</v>
      </c>
      <c r="F7" s="1" t="s">
        <v>59</v>
      </c>
      <c r="G7" s="1" t="s">
        <v>18</v>
      </c>
    </row>
    <row r="8">
      <c r="A8" s="1" t="s">
        <v>26</v>
      </c>
      <c r="B8" s="1">
        <v>1.0</v>
      </c>
      <c r="C8" s="1" t="s">
        <v>45</v>
      </c>
      <c r="D8" s="1" t="s">
        <v>60</v>
      </c>
      <c r="E8" s="1" t="s">
        <v>43</v>
      </c>
      <c r="F8" s="1" t="s">
        <v>61</v>
      </c>
      <c r="G8" s="1" t="s">
        <v>18</v>
      </c>
    </row>
    <row r="9">
      <c r="G9" s="2">
        <f>COUNTIF(G2:G8, "Yes")/COUNTA(G2:G8)</f>
        <v>0.4285714286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62</v>
      </c>
      <c r="C1" s="1" t="s">
        <v>63</v>
      </c>
      <c r="D1" s="1" t="s">
        <v>64</v>
      </c>
      <c r="E1" s="1" t="s">
        <v>6</v>
      </c>
      <c r="F1" s="1" t="s">
        <v>7</v>
      </c>
    </row>
    <row r="2">
      <c r="A2" s="1" t="s">
        <v>8</v>
      </c>
      <c r="B2" s="1" t="s">
        <v>65</v>
      </c>
      <c r="C2" s="1" t="s">
        <v>65</v>
      </c>
      <c r="D2" s="1" t="s">
        <v>66</v>
      </c>
      <c r="E2" s="1">
        <v>1.0</v>
      </c>
      <c r="F2" s="1" t="s">
        <v>18</v>
      </c>
    </row>
    <row r="3">
      <c r="A3" s="1" t="s">
        <v>8</v>
      </c>
      <c r="B3" s="1" t="s">
        <v>65</v>
      </c>
      <c r="C3" s="1" t="s">
        <v>65</v>
      </c>
      <c r="D3" s="1" t="s">
        <v>67</v>
      </c>
      <c r="E3" s="1" t="s">
        <v>62</v>
      </c>
      <c r="F3" s="1" t="s">
        <v>12</v>
      </c>
    </row>
    <row r="4">
      <c r="A4" s="1" t="s">
        <v>8</v>
      </c>
      <c r="B4" s="1" t="s">
        <v>65</v>
      </c>
      <c r="C4" s="1" t="s">
        <v>65</v>
      </c>
      <c r="D4" s="1" t="s">
        <v>68</v>
      </c>
      <c r="E4" s="1" t="s">
        <v>63</v>
      </c>
      <c r="F4" s="1" t="s">
        <v>12</v>
      </c>
    </row>
    <row r="5">
      <c r="A5" s="1" t="s">
        <v>8</v>
      </c>
      <c r="B5" s="1" t="s">
        <v>65</v>
      </c>
      <c r="C5" s="1" t="s">
        <v>65</v>
      </c>
      <c r="D5" s="1" t="s">
        <v>69</v>
      </c>
      <c r="E5" s="1" t="s">
        <v>70</v>
      </c>
      <c r="F5" s="1" t="s">
        <v>18</v>
      </c>
    </row>
    <row r="6">
      <c r="A6" s="1" t="s">
        <v>8</v>
      </c>
      <c r="B6" s="1" t="s">
        <v>65</v>
      </c>
      <c r="C6" s="1" t="s">
        <v>71</v>
      </c>
      <c r="D6" s="1" t="s">
        <v>69</v>
      </c>
      <c r="E6" s="1" t="s">
        <v>72</v>
      </c>
      <c r="F6" s="1" t="s">
        <v>12</v>
      </c>
    </row>
    <row r="7">
      <c r="A7" s="1" t="s">
        <v>8</v>
      </c>
      <c r="B7" s="1" t="s">
        <v>71</v>
      </c>
      <c r="C7" s="1" t="s">
        <v>65</v>
      </c>
      <c r="D7" s="1" t="s">
        <v>69</v>
      </c>
      <c r="E7" s="1" t="s">
        <v>73</v>
      </c>
      <c r="F7" s="1" t="s">
        <v>12</v>
      </c>
    </row>
    <row r="8">
      <c r="A8" s="1" t="s">
        <v>8</v>
      </c>
      <c r="B8" s="1" t="s">
        <v>71</v>
      </c>
      <c r="C8" s="1" t="s">
        <v>71</v>
      </c>
      <c r="D8" s="1" t="s">
        <v>69</v>
      </c>
      <c r="E8" s="1" t="s">
        <v>74</v>
      </c>
      <c r="F8" s="1" t="s">
        <v>12</v>
      </c>
    </row>
    <row r="9">
      <c r="A9" s="1" t="s">
        <v>8</v>
      </c>
      <c r="B9" s="1" t="s">
        <v>65</v>
      </c>
      <c r="C9" s="1" t="s">
        <v>65</v>
      </c>
      <c r="D9" s="1" t="s">
        <v>75</v>
      </c>
      <c r="E9" s="1" t="s">
        <v>76</v>
      </c>
      <c r="F9" s="1" t="s">
        <v>12</v>
      </c>
    </row>
    <row r="10">
      <c r="A10" s="1" t="s">
        <v>8</v>
      </c>
      <c r="B10" s="1">
        <v>0.0</v>
      </c>
      <c r="C10" s="1" t="s">
        <v>65</v>
      </c>
      <c r="D10" s="1" t="s">
        <v>9</v>
      </c>
      <c r="E10" s="1" t="s">
        <v>77</v>
      </c>
      <c r="F10" s="1" t="s">
        <v>12</v>
      </c>
    </row>
    <row r="11">
      <c r="A11" s="1" t="s">
        <v>8</v>
      </c>
      <c r="B11" s="1" t="s">
        <v>65</v>
      </c>
      <c r="C11" s="1">
        <v>0.0</v>
      </c>
      <c r="D11" s="1" t="s">
        <v>9</v>
      </c>
      <c r="E11" s="1" t="s">
        <v>78</v>
      </c>
      <c r="F11" s="1" t="s">
        <v>12</v>
      </c>
    </row>
    <row r="12">
      <c r="A12" s="1" t="s">
        <v>21</v>
      </c>
      <c r="B12" s="1">
        <v>0.0</v>
      </c>
      <c r="C12" s="1">
        <v>0.0</v>
      </c>
      <c r="D12" s="1" t="s">
        <v>9</v>
      </c>
      <c r="E12" s="1" t="s">
        <v>23</v>
      </c>
      <c r="F12" s="1" t="s">
        <v>12</v>
      </c>
    </row>
    <row r="13">
      <c r="A13" s="1" t="s">
        <v>21</v>
      </c>
      <c r="B13" s="1" t="s">
        <v>47</v>
      </c>
      <c r="C13" s="1" t="s">
        <v>65</v>
      </c>
      <c r="D13" s="1" t="s">
        <v>9</v>
      </c>
      <c r="E13" s="1" t="s">
        <v>23</v>
      </c>
      <c r="F13" s="1" t="s">
        <v>12</v>
      </c>
    </row>
    <row r="14">
      <c r="A14" s="1" t="s">
        <v>21</v>
      </c>
      <c r="B14" s="1" t="s">
        <v>65</v>
      </c>
      <c r="C14" s="1" t="s">
        <v>47</v>
      </c>
      <c r="D14" s="1" t="s">
        <v>9</v>
      </c>
      <c r="E14" s="1" t="s">
        <v>23</v>
      </c>
      <c r="F14" s="1" t="s">
        <v>12</v>
      </c>
    </row>
    <row r="15">
      <c r="A15" s="1" t="s">
        <v>26</v>
      </c>
      <c r="B15" s="1" t="s">
        <v>65</v>
      </c>
      <c r="C15" s="1" t="s">
        <v>79</v>
      </c>
      <c r="D15" s="1" t="s">
        <v>69</v>
      </c>
      <c r="E15" s="1" t="s">
        <v>70</v>
      </c>
      <c r="F15" s="1" t="s">
        <v>12</v>
      </c>
    </row>
    <row r="16">
      <c r="A16" s="1" t="s">
        <v>26</v>
      </c>
      <c r="B16" s="1" t="s">
        <v>65</v>
      </c>
      <c r="C16" s="1" t="s">
        <v>80</v>
      </c>
      <c r="D16" s="1" t="s">
        <v>69</v>
      </c>
      <c r="E16" s="1" t="s">
        <v>70</v>
      </c>
      <c r="F16" s="1" t="s">
        <v>12</v>
      </c>
    </row>
    <row r="17">
      <c r="F17" s="2">
        <f>COUNTIF(F2:F16,"Yes")/COUNTA(F2:F16)</f>
        <v>0.1333333333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28</v>
      </c>
      <c r="C1" s="1" t="s">
        <v>81</v>
      </c>
      <c r="D1" s="1" t="s">
        <v>6</v>
      </c>
      <c r="E1" s="1" t="s">
        <v>82</v>
      </c>
    </row>
    <row r="2">
      <c r="A2" s="1" t="s">
        <v>8</v>
      </c>
      <c r="B2" s="1" t="s">
        <v>83</v>
      </c>
      <c r="D2" s="1">
        <v>0.0</v>
      </c>
      <c r="E2" s="1" t="s">
        <v>18</v>
      </c>
    </row>
    <row r="3">
      <c r="A3" s="1" t="s">
        <v>8</v>
      </c>
      <c r="B3" s="1" t="s">
        <v>84</v>
      </c>
      <c r="C3" s="1" t="s">
        <v>85</v>
      </c>
      <c r="D3" s="1" t="s">
        <v>46</v>
      </c>
      <c r="E3" s="1" t="s">
        <v>18</v>
      </c>
    </row>
    <row r="4">
      <c r="A4" s="1" t="s">
        <v>8</v>
      </c>
      <c r="B4" s="1" t="s">
        <v>84</v>
      </c>
      <c r="C4" s="1" t="s">
        <v>86</v>
      </c>
      <c r="D4" s="1" t="s">
        <v>46</v>
      </c>
      <c r="E4" s="1" t="s">
        <v>18</v>
      </c>
    </row>
    <row r="5">
      <c r="A5" s="1" t="s">
        <v>21</v>
      </c>
      <c r="B5" s="1" t="s">
        <v>84</v>
      </c>
      <c r="C5" s="1" t="s">
        <v>87</v>
      </c>
      <c r="D5" s="1" t="s">
        <v>23</v>
      </c>
      <c r="E5" s="1" t="s">
        <v>12</v>
      </c>
    </row>
    <row r="6">
      <c r="A6" s="1" t="s">
        <v>21</v>
      </c>
      <c r="B6" s="1" t="s">
        <v>88</v>
      </c>
      <c r="D6" s="1" t="s">
        <v>23</v>
      </c>
      <c r="E6" s="1" t="s">
        <v>12</v>
      </c>
    </row>
    <row r="7">
      <c r="E7" s="2">
        <f>COUNTIF(E2:E6, "Yes")/COUNTA(E2:E6)</f>
        <v>0.6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28</v>
      </c>
      <c r="C1" s="1" t="s">
        <v>89</v>
      </c>
      <c r="D1" s="1" t="s">
        <v>90</v>
      </c>
      <c r="E1" s="1" t="s">
        <v>91</v>
      </c>
      <c r="F1" s="1" t="s">
        <v>6</v>
      </c>
      <c r="G1" s="1" t="s">
        <v>7</v>
      </c>
    </row>
    <row r="2">
      <c r="A2" s="1" t="s">
        <v>8</v>
      </c>
      <c r="B2" s="1" t="s">
        <v>31</v>
      </c>
      <c r="C2" s="1" t="s">
        <v>32</v>
      </c>
      <c r="D2" s="1" t="s">
        <v>11</v>
      </c>
      <c r="E2" s="1" t="s">
        <v>10</v>
      </c>
      <c r="F2" s="1">
        <v>0.0</v>
      </c>
      <c r="G2" s="1" t="s">
        <v>18</v>
      </c>
    </row>
    <row r="3">
      <c r="A3" s="1" t="s">
        <v>8</v>
      </c>
      <c r="B3" s="1" t="s">
        <v>32</v>
      </c>
      <c r="C3" s="1" t="s">
        <v>31</v>
      </c>
      <c r="D3" s="1" t="s">
        <v>10</v>
      </c>
      <c r="E3" s="1" t="s">
        <v>92</v>
      </c>
      <c r="F3" s="1" t="s">
        <v>93</v>
      </c>
      <c r="G3" s="1" t="s">
        <v>12</v>
      </c>
    </row>
    <row r="4">
      <c r="A4" s="1" t="s">
        <v>8</v>
      </c>
      <c r="B4" s="1" t="s">
        <v>31</v>
      </c>
      <c r="C4" s="1" t="s">
        <v>31</v>
      </c>
      <c r="D4" s="1" t="s">
        <v>10</v>
      </c>
      <c r="E4" s="1" t="s">
        <v>92</v>
      </c>
      <c r="F4" s="1" t="s">
        <v>93</v>
      </c>
      <c r="G4" s="1" t="s">
        <v>12</v>
      </c>
    </row>
    <row r="5">
      <c r="A5" s="1" t="s">
        <v>8</v>
      </c>
      <c r="B5" s="1" t="s">
        <v>32</v>
      </c>
      <c r="C5" s="1" t="s">
        <v>32</v>
      </c>
      <c r="D5" s="1" t="s">
        <v>94</v>
      </c>
      <c r="E5" s="1" t="s">
        <v>10</v>
      </c>
      <c r="F5" s="1">
        <v>0.0</v>
      </c>
      <c r="G5" s="1" t="s">
        <v>12</v>
      </c>
    </row>
    <row r="6">
      <c r="A6" s="1" t="s">
        <v>8</v>
      </c>
      <c r="B6" s="1" t="s">
        <v>32</v>
      </c>
      <c r="C6" s="1" t="s">
        <v>32</v>
      </c>
      <c r="D6" s="1" t="s">
        <v>95</v>
      </c>
      <c r="E6" s="1">
        <v>0.0</v>
      </c>
      <c r="F6" s="1">
        <v>0.0</v>
      </c>
      <c r="G6" s="1" t="s">
        <v>12</v>
      </c>
    </row>
    <row r="7">
      <c r="A7" s="1" t="s">
        <v>8</v>
      </c>
      <c r="B7" s="1" t="s">
        <v>32</v>
      </c>
      <c r="C7" s="1" t="s">
        <v>32</v>
      </c>
      <c r="D7" s="1" t="s">
        <v>95</v>
      </c>
      <c r="E7" s="1">
        <v>1.0</v>
      </c>
      <c r="F7" s="1">
        <v>1.0</v>
      </c>
      <c r="G7" s="1" t="s">
        <v>12</v>
      </c>
    </row>
    <row r="8">
      <c r="A8" s="1" t="s">
        <v>8</v>
      </c>
      <c r="B8" s="1" t="s">
        <v>32</v>
      </c>
      <c r="C8" s="1" t="s">
        <v>32</v>
      </c>
      <c r="D8" s="1" t="s">
        <v>95</v>
      </c>
      <c r="E8" s="1" t="s">
        <v>96</v>
      </c>
      <c r="F8" s="1" t="s">
        <v>97</v>
      </c>
      <c r="G8" s="1" t="s">
        <v>18</v>
      </c>
    </row>
    <row r="9">
      <c r="A9" s="1" t="s">
        <v>8</v>
      </c>
      <c r="B9" s="1" t="s">
        <v>32</v>
      </c>
      <c r="C9" s="1" t="s">
        <v>32</v>
      </c>
      <c r="D9" s="1" t="s">
        <v>95</v>
      </c>
      <c r="E9" s="1" t="s">
        <v>98</v>
      </c>
      <c r="F9" s="1" t="s">
        <v>97</v>
      </c>
      <c r="G9" s="1" t="s">
        <v>18</v>
      </c>
    </row>
    <row r="10">
      <c r="A10" s="1" t="s">
        <v>21</v>
      </c>
      <c r="B10" s="1" t="s">
        <v>38</v>
      </c>
      <c r="C10" s="1" t="s">
        <v>32</v>
      </c>
      <c r="D10" s="1" t="s">
        <v>11</v>
      </c>
      <c r="E10" s="1" t="s">
        <v>9</v>
      </c>
      <c r="F10" s="1" t="s">
        <v>23</v>
      </c>
      <c r="G10" s="1" t="s">
        <v>12</v>
      </c>
    </row>
    <row r="11">
      <c r="A11" s="1" t="s">
        <v>21</v>
      </c>
      <c r="B11" s="1" t="s">
        <v>32</v>
      </c>
      <c r="C11" s="1" t="s">
        <v>38</v>
      </c>
      <c r="D11" s="1" t="s">
        <v>9</v>
      </c>
      <c r="E11" s="1" t="s">
        <v>9</v>
      </c>
      <c r="F11" s="1" t="s">
        <v>23</v>
      </c>
      <c r="G11" s="1" t="s">
        <v>12</v>
      </c>
    </row>
    <row r="12">
      <c r="A12" s="1" t="s">
        <v>26</v>
      </c>
      <c r="B12" s="1" t="s">
        <v>32</v>
      </c>
      <c r="C12" s="1" t="s">
        <v>32</v>
      </c>
      <c r="D12" s="1">
        <v>1.0</v>
      </c>
      <c r="E12" s="1" t="s">
        <v>96</v>
      </c>
      <c r="F12" s="1" t="s">
        <v>97</v>
      </c>
      <c r="G12" s="1" t="s">
        <v>18</v>
      </c>
    </row>
    <row r="13">
      <c r="A13" s="1" t="s">
        <v>26</v>
      </c>
      <c r="B13" s="1" t="s">
        <v>32</v>
      </c>
      <c r="C13" s="1" t="s">
        <v>32</v>
      </c>
      <c r="D13" s="1" t="s">
        <v>99</v>
      </c>
      <c r="E13" s="1" t="s">
        <v>100</v>
      </c>
      <c r="F13" s="1">
        <v>1.0</v>
      </c>
      <c r="G13" s="1" t="s">
        <v>12</v>
      </c>
    </row>
    <row r="14">
      <c r="G14" s="2">
        <f>COUNTIF(G2:G13, "Yes")/COUNTA(G2:G13)</f>
        <v>0.3333333333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4</v>
      </c>
      <c r="D1" s="1" t="s">
        <v>101</v>
      </c>
      <c r="E1" s="1" t="s">
        <v>6</v>
      </c>
      <c r="F1" s="1" t="s">
        <v>7</v>
      </c>
    </row>
    <row r="2">
      <c r="A2" s="1" t="s">
        <v>8</v>
      </c>
      <c r="B2" s="1" t="s">
        <v>14</v>
      </c>
      <c r="C2" s="1" t="s">
        <v>12</v>
      </c>
      <c r="D2" s="1" t="s">
        <v>102</v>
      </c>
      <c r="E2" s="1" t="s">
        <v>103</v>
      </c>
      <c r="F2" s="1" t="s">
        <v>18</v>
      </c>
    </row>
    <row r="3">
      <c r="A3" s="1" t="s">
        <v>8</v>
      </c>
      <c r="B3" s="1" t="s">
        <v>14</v>
      </c>
      <c r="C3" s="1" t="s">
        <v>102</v>
      </c>
      <c r="D3" s="1" t="s">
        <v>104</v>
      </c>
      <c r="E3" s="1" t="s">
        <v>105</v>
      </c>
      <c r="F3" s="1" t="s">
        <v>18</v>
      </c>
    </row>
    <row r="4">
      <c r="A4" s="1" t="s">
        <v>8</v>
      </c>
      <c r="B4" s="1" t="s">
        <v>14</v>
      </c>
      <c r="C4" s="1" t="s">
        <v>11</v>
      </c>
      <c r="D4" s="1" t="s">
        <v>106</v>
      </c>
      <c r="E4" s="1" t="s">
        <v>107</v>
      </c>
      <c r="F4" s="1" t="s">
        <v>12</v>
      </c>
    </row>
    <row r="5">
      <c r="A5" s="1" t="s">
        <v>21</v>
      </c>
      <c r="B5" s="1" t="s">
        <v>108</v>
      </c>
      <c r="C5" s="1" t="s">
        <v>109</v>
      </c>
      <c r="D5" s="1" t="s">
        <v>109</v>
      </c>
      <c r="E5" s="1" t="s">
        <v>23</v>
      </c>
      <c r="F5" s="1" t="s">
        <v>12</v>
      </c>
    </row>
    <row r="6">
      <c r="A6" s="1" t="s">
        <v>26</v>
      </c>
      <c r="B6" s="1">
        <v>2.0</v>
      </c>
      <c r="C6" s="1" t="s">
        <v>11</v>
      </c>
      <c r="D6" s="1" t="s">
        <v>104</v>
      </c>
      <c r="E6" s="1" t="s">
        <v>110</v>
      </c>
      <c r="F6" s="1" t="s">
        <v>12</v>
      </c>
    </row>
    <row r="7">
      <c r="F7" s="2">
        <f>COUNTIF(F2:F6, "Yes")/COUNTA(F2:F6)</f>
        <v>0.4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111</v>
      </c>
      <c r="C1" s="1" t="s">
        <v>112</v>
      </c>
      <c r="D1" s="1" t="s">
        <v>6</v>
      </c>
      <c r="E1" s="1" t="s">
        <v>7</v>
      </c>
    </row>
    <row r="2">
      <c r="A2" s="1" t="s">
        <v>8</v>
      </c>
      <c r="B2" s="1" t="s">
        <v>45</v>
      </c>
      <c r="C2" s="1" t="s">
        <v>113</v>
      </c>
      <c r="D2" s="1" t="s">
        <v>46</v>
      </c>
      <c r="E2" s="1" t="s">
        <v>18</v>
      </c>
    </row>
    <row r="3">
      <c r="A3" s="1" t="s">
        <v>8</v>
      </c>
      <c r="B3" s="1" t="s">
        <v>45</v>
      </c>
      <c r="C3" s="1" t="s">
        <v>114</v>
      </c>
      <c r="D3" s="1" t="s">
        <v>46</v>
      </c>
      <c r="E3" s="1" t="s">
        <v>18</v>
      </c>
    </row>
    <row r="4">
      <c r="A4" s="1" t="s">
        <v>8</v>
      </c>
      <c r="B4" s="1" t="s">
        <v>45</v>
      </c>
      <c r="C4" s="1" t="s">
        <v>115</v>
      </c>
      <c r="D4" s="1" t="s">
        <v>116</v>
      </c>
      <c r="E4" s="1" t="s">
        <v>12</v>
      </c>
    </row>
    <row r="5">
      <c r="A5" s="1" t="s">
        <v>21</v>
      </c>
      <c r="B5" s="1" t="s">
        <v>47</v>
      </c>
      <c r="D5" s="1" t="s">
        <v>23</v>
      </c>
      <c r="E5" s="1" t="s">
        <v>12</v>
      </c>
    </row>
    <row r="6">
      <c r="A6" s="1" t="s">
        <v>26</v>
      </c>
      <c r="B6" s="1" t="s">
        <v>45</v>
      </c>
      <c r="C6" s="1">
        <v>1.0</v>
      </c>
      <c r="D6" s="1" t="s">
        <v>48</v>
      </c>
      <c r="E6" s="1" t="s">
        <v>12</v>
      </c>
    </row>
    <row r="7">
      <c r="A7" s="1" t="s">
        <v>26</v>
      </c>
      <c r="B7" s="1" t="s">
        <v>45</v>
      </c>
      <c r="C7" s="1">
        <v>2.0</v>
      </c>
      <c r="D7" s="1" t="s">
        <v>117</v>
      </c>
      <c r="E7" s="1" t="s">
        <v>18</v>
      </c>
    </row>
    <row r="8">
      <c r="E8" s="2">
        <f>COUNTIF(E2:E7, "Yes")/COUNTA(E2:E7)</f>
        <v>0.5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118</v>
      </c>
      <c r="D1" s="1" t="s">
        <v>119</v>
      </c>
      <c r="E1" s="1" t="s">
        <v>120</v>
      </c>
      <c r="F1" s="1" t="s">
        <v>6</v>
      </c>
      <c r="G1" s="1" t="s">
        <v>7</v>
      </c>
    </row>
    <row r="2">
      <c r="A2" s="1" t="s">
        <v>8</v>
      </c>
      <c r="B2" s="1" t="s">
        <v>31</v>
      </c>
      <c r="C2" s="1" t="s">
        <v>32</v>
      </c>
      <c r="D2" s="1" t="s">
        <v>109</v>
      </c>
      <c r="E2" s="1" t="s">
        <v>11</v>
      </c>
      <c r="F2" s="1" t="s">
        <v>48</v>
      </c>
      <c r="G2" s="1" t="s">
        <v>18</v>
      </c>
    </row>
    <row r="3">
      <c r="A3" s="1" t="s">
        <v>8</v>
      </c>
      <c r="B3" s="1" t="s">
        <v>32</v>
      </c>
      <c r="C3" s="1" t="s">
        <v>121</v>
      </c>
      <c r="D3" s="1" t="s">
        <v>122</v>
      </c>
      <c r="E3" s="1" t="s">
        <v>11</v>
      </c>
      <c r="F3" s="1" t="s">
        <v>123</v>
      </c>
      <c r="G3" s="1" t="s">
        <v>12</v>
      </c>
    </row>
    <row r="4">
      <c r="A4" s="1" t="s">
        <v>8</v>
      </c>
      <c r="B4" s="1" t="s">
        <v>32</v>
      </c>
      <c r="C4" s="1" t="s">
        <v>32</v>
      </c>
      <c r="D4" s="1" t="s">
        <v>124</v>
      </c>
      <c r="E4" s="1" t="s">
        <v>125</v>
      </c>
      <c r="F4" s="1" t="s">
        <v>48</v>
      </c>
      <c r="G4" s="1" t="s">
        <v>12</v>
      </c>
    </row>
    <row r="5">
      <c r="A5" s="1" t="s">
        <v>8</v>
      </c>
      <c r="B5" s="1" t="s">
        <v>32</v>
      </c>
      <c r="C5" s="1" t="s">
        <v>32</v>
      </c>
      <c r="D5" s="1" t="s">
        <v>126</v>
      </c>
      <c r="E5" s="1" t="s">
        <v>125</v>
      </c>
      <c r="F5" s="1" t="s">
        <v>127</v>
      </c>
      <c r="G5" s="1" t="s">
        <v>18</v>
      </c>
    </row>
    <row r="6">
      <c r="A6" s="1" t="s">
        <v>8</v>
      </c>
      <c r="B6" s="1" t="s">
        <v>32</v>
      </c>
      <c r="C6" s="1" t="s">
        <v>128</v>
      </c>
      <c r="D6" s="1" t="s">
        <v>109</v>
      </c>
      <c r="E6" s="1" t="s">
        <v>125</v>
      </c>
      <c r="F6" s="1" t="s">
        <v>48</v>
      </c>
      <c r="G6" s="1" t="s">
        <v>12</v>
      </c>
    </row>
    <row r="7">
      <c r="A7" s="1" t="s">
        <v>8</v>
      </c>
      <c r="B7" s="1" t="s">
        <v>32</v>
      </c>
      <c r="C7" s="1" t="s">
        <v>32</v>
      </c>
      <c r="D7" s="1" t="s">
        <v>126</v>
      </c>
      <c r="E7" s="1" t="s">
        <v>129</v>
      </c>
      <c r="F7" s="1" t="s">
        <v>130</v>
      </c>
      <c r="G7" s="1" t="s">
        <v>12</v>
      </c>
    </row>
    <row r="8">
      <c r="A8" s="1" t="s">
        <v>21</v>
      </c>
      <c r="B8" s="1" t="s">
        <v>131</v>
      </c>
      <c r="C8" s="1" t="s">
        <v>28</v>
      </c>
      <c r="D8" s="1" t="s">
        <v>9</v>
      </c>
      <c r="E8" s="1" t="s">
        <v>9</v>
      </c>
      <c r="F8" s="1" t="s">
        <v>23</v>
      </c>
      <c r="G8" s="1" t="s">
        <v>12</v>
      </c>
    </row>
    <row r="9">
      <c r="A9" s="1" t="s">
        <v>21</v>
      </c>
      <c r="B9" s="1" t="s">
        <v>132</v>
      </c>
      <c r="C9" s="1" t="s">
        <v>38</v>
      </c>
      <c r="D9" s="1" t="s">
        <v>9</v>
      </c>
      <c r="E9" s="1" t="s">
        <v>9</v>
      </c>
      <c r="F9" s="1" t="s">
        <v>23</v>
      </c>
      <c r="G9" s="1" t="s">
        <v>12</v>
      </c>
    </row>
    <row r="10">
      <c r="A10" s="1" t="s">
        <v>26</v>
      </c>
      <c r="B10" s="3" t="s">
        <v>32</v>
      </c>
      <c r="C10" s="3" t="s">
        <v>133</v>
      </c>
      <c r="D10" s="3" t="s">
        <v>134</v>
      </c>
      <c r="E10" s="3" t="s">
        <v>125</v>
      </c>
      <c r="F10" s="3" t="s">
        <v>135</v>
      </c>
      <c r="G10" s="1" t="s">
        <v>18</v>
      </c>
    </row>
    <row r="11">
      <c r="G11" s="4">
        <f>COUNTIF(G2:G10, "Yes")/COUNTA(G2:G10)</f>
        <v>0.3333333333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6</v>
      </c>
      <c r="H1" s="1" t="s">
        <v>7</v>
      </c>
    </row>
    <row r="2">
      <c r="A2" s="1" t="s">
        <v>8</v>
      </c>
      <c r="B2" s="1">
        <v>1.0</v>
      </c>
      <c r="C2" s="1" t="s">
        <v>141</v>
      </c>
      <c r="D2" s="1" t="s">
        <v>142</v>
      </c>
      <c r="E2" s="1" t="s">
        <v>43</v>
      </c>
      <c r="F2" s="1" t="s">
        <v>9</v>
      </c>
      <c r="G2" s="1" t="s">
        <v>143</v>
      </c>
      <c r="H2" s="1" t="s">
        <v>18</v>
      </c>
    </row>
    <row r="3">
      <c r="A3" s="1" t="s">
        <v>8</v>
      </c>
      <c r="B3" s="1" t="s">
        <v>144</v>
      </c>
      <c r="C3" s="1">
        <v>1.0</v>
      </c>
      <c r="D3" s="1" t="s">
        <v>142</v>
      </c>
      <c r="E3" s="1" t="s">
        <v>43</v>
      </c>
      <c r="F3" s="1" t="s">
        <v>12</v>
      </c>
      <c r="G3" s="1" t="s">
        <v>143</v>
      </c>
      <c r="H3" s="1" t="s">
        <v>12</v>
      </c>
    </row>
    <row r="4">
      <c r="A4" s="1" t="s">
        <v>8</v>
      </c>
      <c r="B4" s="1" t="s">
        <v>144</v>
      </c>
      <c r="C4" s="1" t="s">
        <v>14</v>
      </c>
      <c r="D4" s="1" t="s">
        <v>12</v>
      </c>
      <c r="E4" s="1" t="s">
        <v>43</v>
      </c>
      <c r="F4" s="1" t="s">
        <v>12</v>
      </c>
      <c r="G4" s="1" t="s">
        <v>145</v>
      </c>
      <c r="H4" s="1" t="s">
        <v>18</v>
      </c>
    </row>
    <row r="5">
      <c r="A5" s="1" t="s">
        <v>8</v>
      </c>
      <c r="B5" s="1" t="s">
        <v>144</v>
      </c>
      <c r="C5" s="1" t="s">
        <v>14</v>
      </c>
      <c r="D5" s="1" t="s">
        <v>18</v>
      </c>
      <c r="E5" s="1" t="s">
        <v>43</v>
      </c>
      <c r="F5" s="1" t="s">
        <v>12</v>
      </c>
      <c r="G5" s="1" t="s">
        <v>145</v>
      </c>
      <c r="H5" s="1" t="s">
        <v>12</v>
      </c>
    </row>
    <row r="6">
      <c r="A6" s="1" t="s">
        <v>8</v>
      </c>
      <c r="B6" s="1" t="s">
        <v>144</v>
      </c>
      <c r="C6" s="1" t="s">
        <v>14</v>
      </c>
      <c r="D6" s="1" t="s">
        <v>12</v>
      </c>
      <c r="E6" s="1" t="s">
        <v>146</v>
      </c>
      <c r="F6" s="1" t="s">
        <v>12</v>
      </c>
      <c r="G6" s="1" t="s">
        <v>145</v>
      </c>
      <c r="H6" s="1" t="s">
        <v>12</v>
      </c>
    </row>
    <row r="7">
      <c r="A7" s="1" t="s">
        <v>8</v>
      </c>
      <c r="B7" s="1" t="s">
        <v>144</v>
      </c>
      <c r="C7" s="1" t="s">
        <v>14</v>
      </c>
      <c r="D7" s="1" t="s">
        <v>12</v>
      </c>
      <c r="E7" s="1" t="s">
        <v>147</v>
      </c>
      <c r="F7" s="1" t="s">
        <v>12</v>
      </c>
      <c r="G7" s="1" t="s">
        <v>145</v>
      </c>
      <c r="H7" s="1" t="s">
        <v>12</v>
      </c>
    </row>
    <row r="8">
      <c r="A8" s="1" t="s">
        <v>8</v>
      </c>
      <c r="B8" s="1" t="s">
        <v>144</v>
      </c>
      <c r="C8" s="1" t="s">
        <v>14</v>
      </c>
      <c r="D8" s="1" t="s">
        <v>12</v>
      </c>
      <c r="E8" s="1" t="s">
        <v>43</v>
      </c>
      <c r="F8" s="1" t="s">
        <v>18</v>
      </c>
      <c r="G8" s="1" t="s">
        <v>145</v>
      </c>
      <c r="H8" s="1" t="s">
        <v>12</v>
      </c>
    </row>
    <row r="9">
      <c r="A9" s="1" t="s">
        <v>21</v>
      </c>
      <c r="B9" s="1" t="s">
        <v>148</v>
      </c>
      <c r="C9" s="1" t="s">
        <v>11</v>
      </c>
      <c r="D9" s="1" t="s">
        <v>11</v>
      </c>
      <c r="E9" s="1" t="s">
        <v>11</v>
      </c>
      <c r="F9" s="1" t="s">
        <v>11</v>
      </c>
      <c r="G9" s="1" t="s">
        <v>23</v>
      </c>
      <c r="H9" s="1" t="s">
        <v>12</v>
      </c>
    </row>
    <row r="10">
      <c r="A10" s="1" t="s">
        <v>21</v>
      </c>
      <c r="B10" s="1" t="s">
        <v>144</v>
      </c>
      <c r="C10" s="1" t="s">
        <v>149</v>
      </c>
      <c r="D10" s="1" t="s">
        <v>9</v>
      </c>
      <c r="E10" s="1" t="s">
        <v>150</v>
      </c>
      <c r="F10" s="1" t="s">
        <v>9</v>
      </c>
      <c r="G10" s="1" t="s">
        <v>23</v>
      </c>
      <c r="H10" s="1" t="s">
        <v>12</v>
      </c>
    </row>
    <row r="11">
      <c r="A11" s="1" t="s">
        <v>26</v>
      </c>
      <c r="B11" s="1" t="s">
        <v>144</v>
      </c>
      <c r="C11" s="1" t="s">
        <v>151</v>
      </c>
      <c r="D11" s="1" t="s">
        <v>12</v>
      </c>
      <c r="E11" s="1" t="s">
        <v>43</v>
      </c>
      <c r="F11" s="1" t="s">
        <v>12</v>
      </c>
      <c r="G11" s="1" t="s">
        <v>145</v>
      </c>
      <c r="H11" s="1" t="s">
        <v>12</v>
      </c>
    </row>
    <row r="12">
      <c r="H12" s="2">
        <f>COUNTIF(H2:H11,"Yes")/COUNTA(H2:H11)</f>
        <v>0.2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152</v>
      </c>
      <c r="D1" s="1" t="s">
        <v>4</v>
      </c>
      <c r="E1" s="1" t="s">
        <v>153</v>
      </c>
      <c r="F1" s="1" t="s">
        <v>6</v>
      </c>
      <c r="G1" s="1" t="s">
        <v>7</v>
      </c>
    </row>
    <row r="2">
      <c r="A2" s="1" t="s">
        <v>8</v>
      </c>
      <c r="B2" s="1" t="s">
        <v>154</v>
      </c>
      <c r="C2" s="1" t="s">
        <v>109</v>
      </c>
      <c r="D2" s="1" t="s">
        <v>12</v>
      </c>
      <c r="E2" s="1" t="s">
        <v>53</v>
      </c>
      <c r="F2" s="1" t="b">
        <v>0</v>
      </c>
      <c r="G2" s="1" t="s">
        <v>18</v>
      </c>
    </row>
    <row r="3">
      <c r="A3" s="1" t="s">
        <v>8</v>
      </c>
      <c r="B3" s="1" t="s">
        <v>154</v>
      </c>
      <c r="C3" s="1" t="s">
        <v>109</v>
      </c>
      <c r="D3" s="1" t="s">
        <v>12</v>
      </c>
      <c r="E3" s="1" t="s">
        <v>155</v>
      </c>
      <c r="F3" s="1" t="b">
        <v>0</v>
      </c>
      <c r="G3" s="1" t="s">
        <v>12</v>
      </c>
    </row>
    <row r="4">
      <c r="A4" s="1" t="s">
        <v>8</v>
      </c>
      <c r="B4" s="1" t="s">
        <v>154</v>
      </c>
      <c r="C4" s="1" t="s">
        <v>18</v>
      </c>
      <c r="D4" s="1" t="s">
        <v>12</v>
      </c>
      <c r="E4" s="1" t="s">
        <v>129</v>
      </c>
      <c r="F4" s="1" t="b">
        <v>1</v>
      </c>
      <c r="G4" s="1" t="s">
        <v>18</v>
      </c>
    </row>
    <row r="5">
      <c r="A5" s="1" t="s">
        <v>8</v>
      </c>
      <c r="B5" s="1" t="s">
        <v>154</v>
      </c>
      <c r="C5" s="1" t="s">
        <v>12</v>
      </c>
      <c r="D5" s="1" t="s">
        <v>12</v>
      </c>
      <c r="E5" s="1" t="s">
        <v>129</v>
      </c>
      <c r="F5" s="1" t="b">
        <v>0</v>
      </c>
      <c r="G5" s="1" t="s">
        <v>18</v>
      </c>
    </row>
    <row r="6">
      <c r="A6" s="1" t="s">
        <v>8</v>
      </c>
      <c r="B6" s="1" t="s">
        <v>154</v>
      </c>
      <c r="C6" s="1" t="s">
        <v>12</v>
      </c>
      <c r="D6" s="1" t="s">
        <v>18</v>
      </c>
      <c r="E6" s="1" t="s">
        <v>129</v>
      </c>
      <c r="F6" s="1" t="b">
        <v>0</v>
      </c>
      <c r="G6" s="1" t="s">
        <v>12</v>
      </c>
    </row>
    <row r="7">
      <c r="A7" s="1" t="s">
        <v>21</v>
      </c>
      <c r="B7" s="1" t="s">
        <v>11</v>
      </c>
      <c r="C7" s="1" t="s">
        <v>9</v>
      </c>
      <c r="D7" s="1" t="s">
        <v>11</v>
      </c>
      <c r="E7" s="1" t="s">
        <v>47</v>
      </c>
      <c r="F7" s="1" t="s">
        <v>23</v>
      </c>
      <c r="G7" s="1" t="s">
        <v>12</v>
      </c>
    </row>
    <row r="8">
      <c r="A8" s="1" t="s">
        <v>26</v>
      </c>
      <c r="B8" s="1" t="s">
        <v>156</v>
      </c>
      <c r="C8" s="1" t="s">
        <v>109</v>
      </c>
      <c r="D8" s="1" t="s">
        <v>11</v>
      </c>
      <c r="E8" s="1" t="s">
        <v>11</v>
      </c>
      <c r="F8" s="1" t="b">
        <v>0</v>
      </c>
      <c r="G8" s="1" t="s">
        <v>12</v>
      </c>
    </row>
    <row r="9">
      <c r="A9" s="1" t="s">
        <v>26</v>
      </c>
      <c r="B9" s="1" t="s">
        <v>154</v>
      </c>
      <c r="C9" s="1" t="s">
        <v>157</v>
      </c>
      <c r="D9" s="1" t="s">
        <v>157</v>
      </c>
      <c r="E9" s="1" t="s">
        <v>150</v>
      </c>
      <c r="F9" s="1" t="b">
        <v>1</v>
      </c>
      <c r="G9" s="1" t="s">
        <v>12</v>
      </c>
    </row>
    <row r="10">
      <c r="G10" s="2">
        <f>COUNTIF(G2:G9, "Yes")/COUNTA(G2:G9)</f>
        <v>0.375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158</v>
      </c>
      <c r="C1" s="1" t="s">
        <v>159</v>
      </c>
      <c r="D1" s="1" t="s">
        <v>6</v>
      </c>
      <c r="E1" s="1" t="s">
        <v>7</v>
      </c>
    </row>
    <row r="2">
      <c r="A2" s="1" t="s">
        <v>26</v>
      </c>
      <c r="B2" s="1">
        <v>0.0</v>
      </c>
      <c r="C2" s="1" t="s">
        <v>8</v>
      </c>
      <c r="D2" s="1">
        <v>0.0</v>
      </c>
      <c r="E2" s="1" t="s">
        <v>12</v>
      </c>
    </row>
    <row r="3">
      <c r="A3" s="1" t="s">
        <v>8</v>
      </c>
      <c r="B3" s="1" t="s">
        <v>19</v>
      </c>
      <c r="C3" s="1" t="s">
        <v>8</v>
      </c>
      <c r="D3" s="1" t="s">
        <v>160</v>
      </c>
      <c r="E3" s="1" t="s">
        <v>18</v>
      </c>
    </row>
    <row r="4">
      <c r="A4" s="1" t="s">
        <v>26</v>
      </c>
      <c r="B4" s="1" t="s">
        <v>19</v>
      </c>
      <c r="C4" s="1">
        <v>2.0</v>
      </c>
      <c r="D4" s="1" t="s">
        <v>161</v>
      </c>
      <c r="E4" s="1" t="s">
        <v>18</v>
      </c>
    </row>
    <row r="5">
      <c r="A5" s="1" t="s">
        <v>26</v>
      </c>
      <c r="B5" s="1" t="s">
        <v>19</v>
      </c>
      <c r="C5" s="1">
        <v>10.0</v>
      </c>
      <c r="D5" s="1" t="s">
        <v>162</v>
      </c>
      <c r="E5" s="1" t="s">
        <v>12</v>
      </c>
    </row>
    <row r="6">
      <c r="A6" s="1" t="s">
        <v>163</v>
      </c>
      <c r="B6" s="1" t="s">
        <v>164</v>
      </c>
      <c r="C6" s="1" t="s">
        <v>8</v>
      </c>
      <c r="D6" s="1" t="s">
        <v>92</v>
      </c>
      <c r="E6" s="1" t="s">
        <v>12</v>
      </c>
    </row>
    <row r="7">
      <c r="A7" s="1" t="s">
        <v>21</v>
      </c>
      <c r="B7" s="1" t="s">
        <v>19</v>
      </c>
      <c r="C7" s="1" t="s">
        <v>165</v>
      </c>
      <c r="D7" s="1" t="s">
        <v>23</v>
      </c>
      <c r="E7" s="1" t="s">
        <v>12</v>
      </c>
    </row>
    <row r="8">
      <c r="A8" s="1" t="s">
        <v>21</v>
      </c>
      <c r="B8" s="1" t="s">
        <v>19</v>
      </c>
      <c r="C8" s="1" t="s">
        <v>166</v>
      </c>
      <c r="D8" s="1" t="s">
        <v>23</v>
      </c>
      <c r="E8" s="1" t="s">
        <v>12</v>
      </c>
    </row>
    <row r="9">
      <c r="E9" s="2">
        <f>COUNTIF(E2:E8, "Yes")/COUNTA(E2:E8)</f>
        <v>0.2857142857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167</v>
      </c>
      <c r="C1" s="1" t="s">
        <v>6</v>
      </c>
      <c r="D1" s="1" t="s">
        <v>7</v>
      </c>
    </row>
    <row r="2">
      <c r="A2" s="1" t="s">
        <v>26</v>
      </c>
      <c r="B2" s="1">
        <v>0.0</v>
      </c>
      <c r="C2" s="1">
        <v>0.0</v>
      </c>
      <c r="D2" s="1" t="s">
        <v>12</v>
      </c>
    </row>
    <row r="3">
      <c r="A3" s="1" t="s">
        <v>26</v>
      </c>
      <c r="B3" s="1">
        <v>1.0</v>
      </c>
      <c r="C3" s="1">
        <v>0.0</v>
      </c>
      <c r="D3" s="1" t="s">
        <v>12</v>
      </c>
    </row>
    <row r="4">
      <c r="A4" s="1" t="s">
        <v>26</v>
      </c>
      <c r="B4" s="1">
        <v>2.0</v>
      </c>
      <c r="C4" s="1">
        <v>2.0</v>
      </c>
      <c r="D4" s="1" t="s">
        <v>12</v>
      </c>
    </row>
    <row r="5">
      <c r="A5" s="1" t="s">
        <v>26</v>
      </c>
      <c r="B5" s="1">
        <v>3.0</v>
      </c>
      <c r="C5" s="1">
        <v>0.0</v>
      </c>
      <c r="D5" s="1" t="s">
        <v>12</v>
      </c>
    </row>
    <row r="6">
      <c r="A6" s="1" t="s">
        <v>26</v>
      </c>
      <c r="B6" s="1">
        <v>4.0</v>
      </c>
      <c r="C6" s="1">
        <v>2.0</v>
      </c>
      <c r="D6" s="1" t="s">
        <v>12</v>
      </c>
    </row>
    <row r="7">
      <c r="A7" s="1" t="s">
        <v>8</v>
      </c>
      <c r="B7" s="1" t="s">
        <v>146</v>
      </c>
      <c r="C7" s="1" t="s">
        <v>168</v>
      </c>
      <c r="D7" s="1" t="s">
        <v>18</v>
      </c>
    </row>
    <row r="8">
      <c r="A8" s="1" t="s">
        <v>8</v>
      </c>
      <c r="B8" s="1" t="s">
        <v>147</v>
      </c>
      <c r="C8" s="1" t="s">
        <v>168</v>
      </c>
      <c r="D8" s="1" t="s">
        <v>12</v>
      </c>
    </row>
    <row r="9">
      <c r="A9" s="1" t="s">
        <v>21</v>
      </c>
      <c r="B9" s="1" t="s">
        <v>169</v>
      </c>
      <c r="C9" s="1" t="s">
        <v>23</v>
      </c>
      <c r="D9" s="1" t="s">
        <v>12</v>
      </c>
    </row>
    <row r="10">
      <c r="A10" s="1" t="s">
        <v>21</v>
      </c>
      <c r="B10" s="1" t="s">
        <v>170</v>
      </c>
      <c r="C10" s="1" t="s">
        <v>23</v>
      </c>
      <c r="D10" s="1" t="s">
        <v>12</v>
      </c>
    </row>
    <row r="11">
      <c r="D11" s="2">
        <f>COUNTIF(D2:D10, "Yes")/COUNTA(D2:D10)</f>
        <v>0.1111111111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28</v>
      </c>
      <c r="C1" s="1" t="s">
        <v>171</v>
      </c>
      <c r="D1" s="1" t="s">
        <v>81</v>
      </c>
      <c r="E1" s="1" t="s">
        <v>6</v>
      </c>
      <c r="F1" s="1" t="s">
        <v>7</v>
      </c>
    </row>
    <row r="2">
      <c r="A2" s="1" t="s">
        <v>8</v>
      </c>
      <c r="B2" s="1" t="s">
        <v>172</v>
      </c>
      <c r="C2" s="1" t="s">
        <v>173</v>
      </c>
      <c r="E2" s="1" t="b">
        <v>1</v>
      </c>
      <c r="F2" s="1" t="s">
        <v>18</v>
      </c>
    </row>
    <row r="3">
      <c r="A3" s="1" t="s">
        <v>8</v>
      </c>
      <c r="B3" s="1" t="s">
        <v>146</v>
      </c>
      <c r="C3" s="1" t="s">
        <v>18</v>
      </c>
      <c r="D3" s="1" t="s">
        <v>174</v>
      </c>
      <c r="E3" s="1" t="b">
        <v>1</v>
      </c>
      <c r="F3" s="1" t="s">
        <v>18</v>
      </c>
    </row>
    <row r="4">
      <c r="A4" s="1" t="s">
        <v>8</v>
      </c>
      <c r="B4" s="1" t="s">
        <v>146</v>
      </c>
      <c r="C4" s="1" t="s">
        <v>18</v>
      </c>
      <c r="D4" s="1" t="s">
        <v>86</v>
      </c>
      <c r="E4" s="1" t="b">
        <v>1</v>
      </c>
      <c r="F4" s="1" t="s">
        <v>12</v>
      </c>
    </row>
    <row r="5">
      <c r="A5" s="1" t="s">
        <v>8</v>
      </c>
      <c r="B5" s="1" t="s">
        <v>146</v>
      </c>
      <c r="C5" s="1" t="s">
        <v>18</v>
      </c>
      <c r="D5" s="1" t="s">
        <v>175</v>
      </c>
      <c r="E5" s="1" t="b">
        <v>1</v>
      </c>
      <c r="F5" s="1" t="s">
        <v>12</v>
      </c>
    </row>
    <row r="6">
      <c r="A6" s="1" t="s">
        <v>8</v>
      </c>
      <c r="B6" s="1" t="s">
        <v>146</v>
      </c>
      <c r="C6" s="1" t="s">
        <v>12</v>
      </c>
      <c r="D6" s="1" t="s">
        <v>174</v>
      </c>
      <c r="E6" s="1" t="b">
        <v>0</v>
      </c>
      <c r="F6" s="1" t="s">
        <v>18</v>
      </c>
    </row>
    <row r="7">
      <c r="A7" s="1" t="s">
        <v>8</v>
      </c>
      <c r="B7" s="1" t="s">
        <v>146</v>
      </c>
      <c r="C7" s="1" t="s">
        <v>12</v>
      </c>
      <c r="D7" s="1" t="s">
        <v>86</v>
      </c>
      <c r="E7" s="1" t="b">
        <v>0</v>
      </c>
      <c r="F7" s="1" t="s">
        <v>12</v>
      </c>
    </row>
    <row r="8">
      <c r="A8" s="1" t="s">
        <v>8</v>
      </c>
      <c r="B8" s="1" t="s">
        <v>146</v>
      </c>
      <c r="C8" s="1" t="s">
        <v>12</v>
      </c>
      <c r="D8" s="1" t="s">
        <v>175</v>
      </c>
      <c r="E8" s="1" t="b">
        <v>0</v>
      </c>
      <c r="F8" s="1" t="s">
        <v>12</v>
      </c>
    </row>
    <row r="9">
      <c r="A9" s="1" t="s">
        <v>8</v>
      </c>
      <c r="B9" s="1" t="s">
        <v>147</v>
      </c>
      <c r="C9" s="1" t="s">
        <v>18</v>
      </c>
      <c r="D9" s="1" t="s">
        <v>174</v>
      </c>
      <c r="E9" s="1" t="b">
        <v>1</v>
      </c>
      <c r="F9" s="1" t="s">
        <v>12</v>
      </c>
    </row>
    <row r="10">
      <c r="A10" s="1" t="s">
        <v>8</v>
      </c>
      <c r="B10" s="1" t="s">
        <v>147</v>
      </c>
      <c r="C10" s="1" t="s">
        <v>18</v>
      </c>
      <c r="D10" s="1" t="s">
        <v>86</v>
      </c>
      <c r="E10" s="1" t="b">
        <v>1</v>
      </c>
      <c r="F10" s="1" t="s">
        <v>12</v>
      </c>
    </row>
    <row r="11">
      <c r="A11" s="1" t="s">
        <v>8</v>
      </c>
      <c r="B11" s="1" t="s">
        <v>147</v>
      </c>
      <c r="C11" s="1" t="s">
        <v>18</v>
      </c>
      <c r="D11" s="1" t="s">
        <v>175</v>
      </c>
      <c r="E11" s="1" t="b">
        <v>1</v>
      </c>
      <c r="F11" s="1" t="s">
        <v>12</v>
      </c>
    </row>
    <row r="12">
      <c r="A12" s="1" t="s">
        <v>8</v>
      </c>
      <c r="B12" s="1" t="s">
        <v>147</v>
      </c>
      <c r="C12" s="1" t="s">
        <v>12</v>
      </c>
      <c r="D12" s="1" t="s">
        <v>174</v>
      </c>
      <c r="E12" s="1" t="b">
        <v>0</v>
      </c>
      <c r="F12" s="1" t="s">
        <v>12</v>
      </c>
    </row>
    <row r="13">
      <c r="A13" s="1" t="s">
        <v>8</v>
      </c>
      <c r="B13" s="1" t="s">
        <v>147</v>
      </c>
      <c r="C13" s="1" t="s">
        <v>12</v>
      </c>
      <c r="D13" s="1" t="s">
        <v>86</v>
      </c>
      <c r="E13" s="1" t="b">
        <v>0</v>
      </c>
      <c r="F13" s="1" t="s">
        <v>12</v>
      </c>
    </row>
    <row r="14">
      <c r="A14" s="1" t="s">
        <v>8</v>
      </c>
      <c r="B14" s="1" t="s">
        <v>147</v>
      </c>
      <c r="C14" s="1" t="s">
        <v>12</v>
      </c>
      <c r="D14" s="1" t="s">
        <v>175</v>
      </c>
      <c r="E14" s="1" t="b">
        <v>0</v>
      </c>
      <c r="F14" s="1" t="s">
        <v>12</v>
      </c>
    </row>
    <row r="15">
      <c r="A15" s="1" t="s">
        <v>21</v>
      </c>
      <c r="B15" s="1" t="s">
        <v>38</v>
      </c>
      <c r="E15" s="1" t="s">
        <v>23</v>
      </c>
      <c r="F15" s="1" t="s">
        <v>12</v>
      </c>
    </row>
    <row r="16">
      <c r="A16" s="1" t="s">
        <v>21</v>
      </c>
      <c r="B16" s="1" t="s">
        <v>176</v>
      </c>
      <c r="E16" s="1" t="s">
        <v>23</v>
      </c>
      <c r="F16" s="1" t="s">
        <v>12</v>
      </c>
    </row>
    <row r="17">
      <c r="A17" s="1" t="s">
        <v>21</v>
      </c>
      <c r="D17" s="1" t="s">
        <v>87</v>
      </c>
      <c r="E17" s="1" t="s">
        <v>23</v>
      </c>
      <c r="F17" s="1" t="s">
        <v>12</v>
      </c>
    </row>
    <row r="18">
      <c r="A18" s="1" t="s">
        <v>26</v>
      </c>
      <c r="B18" s="1" t="s">
        <v>177</v>
      </c>
      <c r="C18" s="1" t="s">
        <v>173</v>
      </c>
      <c r="D18" s="1" t="s">
        <v>178</v>
      </c>
      <c r="E18" s="1" t="b">
        <v>1</v>
      </c>
      <c r="F18" s="1" t="s">
        <v>12</v>
      </c>
    </row>
    <row r="19">
      <c r="A19" s="1" t="s">
        <v>26</v>
      </c>
      <c r="B19" s="1" t="s">
        <v>179</v>
      </c>
      <c r="C19" s="1" t="s">
        <v>18</v>
      </c>
      <c r="D19" s="1" t="s">
        <v>178</v>
      </c>
      <c r="E19" s="1" t="b">
        <v>1</v>
      </c>
      <c r="F19" s="1" t="s">
        <v>12</v>
      </c>
    </row>
    <row r="20">
      <c r="A20" s="1" t="s">
        <v>26</v>
      </c>
      <c r="B20" s="1" t="s">
        <v>179</v>
      </c>
      <c r="C20" s="1" t="s">
        <v>12</v>
      </c>
      <c r="D20" s="1" t="s">
        <v>178</v>
      </c>
      <c r="E20" s="1" t="b">
        <v>0</v>
      </c>
      <c r="F20" s="1" t="s">
        <v>12</v>
      </c>
    </row>
    <row r="21">
      <c r="F21" s="2">
        <f>COUNTIF(F2:F20, "Yes") / COUNTA(F2:F20)</f>
        <v>0.1578947368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167</v>
      </c>
      <c r="C1" s="1" t="s">
        <v>6</v>
      </c>
      <c r="D1" s="1" t="s">
        <v>7</v>
      </c>
    </row>
    <row r="2">
      <c r="A2" s="1" t="s">
        <v>8</v>
      </c>
      <c r="B2" s="1" t="s">
        <v>180</v>
      </c>
      <c r="C2" s="1" t="s">
        <v>181</v>
      </c>
      <c r="D2" s="1" t="s">
        <v>18</v>
      </c>
    </row>
    <row r="3">
      <c r="A3" s="1" t="s">
        <v>8</v>
      </c>
      <c r="B3" s="1" t="s">
        <v>182</v>
      </c>
      <c r="C3" s="1" t="s">
        <v>181</v>
      </c>
      <c r="D3" s="1" t="s">
        <v>12</v>
      </c>
    </row>
    <row r="4">
      <c r="A4" s="1" t="s">
        <v>21</v>
      </c>
      <c r="B4" s="1" t="s">
        <v>183</v>
      </c>
      <c r="C4" s="1" t="s">
        <v>23</v>
      </c>
      <c r="D4" s="1" t="s">
        <v>12</v>
      </c>
    </row>
    <row r="5">
      <c r="A5" s="1" t="s">
        <v>21</v>
      </c>
      <c r="B5" s="1" t="s">
        <v>184</v>
      </c>
      <c r="C5" s="1" t="s">
        <v>23</v>
      </c>
      <c r="D5" s="1" t="s">
        <v>12</v>
      </c>
    </row>
    <row r="6">
      <c r="A6" s="1" t="s">
        <v>21</v>
      </c>
      <c r="B6" s="1" t="s">
        <v>31</v>
      </c>
      <c r="C6" s="1" t="s">
        <v>23</v>
      </c>
      <c r="D6" s="1" t="s">
        <v>12</v>
      </c>
    </row>
    <row r="7">
      <c r="A7" s="1" t="s">
        <v>21</v>
      </c>
      <c r="B7" s="1">
        <v>0.0</v>
      </c>
      <c r="C7" s="1" t="s">
        <v>23</v>
      </c>
      <c r="D7" s="1" t="s">
        <v>12</v>
      </c>
    </row>
    <row r="8">
      <c r="A8" s="1" t="s">
        <v>26</v>
      </c>
      <c r="B8" s="1">
        <v>1.0</v>
      </c>
      <c r="C8" s="1">
        <v>1.0</v>
      </c>
      <c r="D8" s="1" t="s">
        <v>18</v>
      </c>
    </row>
    <row r="9">
      <c r="A9" s="1" t="s">
        <v>26</v>
      </c>
      <c r="B9" s="1">
        <v>2.0</v>
      </c>
      <c r="C9" s="1">
        <v>1.0</v>
      </c>
      <c r="D9" s="1" t="s">
        <v>12</v>
      </c>
    </row>
    <row r="10">
      <c r="A10" s="1" t="s">
        <v>26</v>
      </c>
      <c r="B10" s="1">
        <v>3.0</v>
      </c>
      <c r="C10" s="1">
        <v>2.0</v>
      </c>
      <c r="D10" s="1" t="s">
        <v>12</v>
      </c>
    </row>
    <row r="11">
      <c r="D11" s="2">
        <f>COUNTIF(D2:D10, "Yes")/COUNTA(D2:D10)</f>
        <v>0.2222222222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185</v>
      </c>
      <c r="D1" s="1" t="s">
        <v>186</v>
      </c>
      <c r="E1" s="1" t="s">
        <v>6</v>
      </c>
      <c r="F1" s="1" t="s">
        <v>7</v>
      </c>
    </row>
    <row r="2">
      <c r="A2" s="1" t="s">
        <v>8</v>
      </c>
      <c r="B2" s="1">
        <v>0.0</v>
      </c>
      <c r="C2" s="1" t="s">
        <v>187</v>
      </c>
      <c r="E2" s="1" t="b">
        <v>1</v>
      </c>
      <c r="F2" s="1" t="s">
        <v>12</v>
      </c>
    </row>
    <row r="3">
      <c r="A3" s="1" t="s">
        <v>8</v>
      </c>
      <c r="B3" s="1" t="s">
        <v>43</v>
      </c>
      <c r="C3" s="1" t="s">
        <v>188</v>
      </c>
      <c r="D3" s="1" t="s">
        <v>12</v>
      </c>
      <c r="E3" s="1" t="b">
        <v>1</v>
      </c>
      <c r="F3" s="1" t="s">
        <v>18</v>
      </c>
    </row>
    <row r="4">
      <c r="A4" s="1" t="s">
        <v>8</v>
      </c>
      <c r="B4" s="1" t="s">
        <v>43</v>
      </c>
      <c r="C4" s="1" t="s">
        <v>188</v>
      </c>
      <c r="D4" s="1" t="s">
        <v>18</v>
      </c>
      <c r="E4" s="1" t="b">
        <v>1</v>
      </c>
      <c r="F4" s="1" t="s">
        <v>12</v>
      </c>
    </row>
    <row r="5">
      <c r="A5" s="1" t="s">
        <v>8</v>
      </c>
      <c r="B5" s="3" t="s">
        <v>43</v>
      </c>
      <c r="C5" s="5" t="s">
        <v>189</v>
      </c>
      <c r="D5" s="3" t="s">
        <v>12</v>
      </c>
      <c r="E5" s="1" t="b">
        <v>1</v>
      </c>
      <c r="F5" s="1" t="s">
        <v>18</v>
      </c>
    </row>
    <row r="6">
      <c r="A6" s="1" t="s">
        <v>8</v>
      </c>
      <c r="B6" s="3" t="s">
        <v>43</v>
      </c>
      <c r="C6" s="5" t="s">
        <v>189</v>
      </c>
      <c r="D6" s="3" t="s">
        <v>18</v>
      </c>
      <c r="E6" s="1" t="b">
        <v>1</v>
      </c>
      <c r="F6" s="1" t="s">
        <v>18</v>
      </c>
    </row>
    <row r="7">
      <c r="A7" s="1" t="s">
        <v>8</v>
      </c>
      <c r="B7" s="3" t="s">
        <v>43</v>
      </c>
      <c r="C7" s="1" t="s">
        <v>190</v>
      </c>
      <c r="E7" s="1" t="b">
        <v>0</v>
      </c>
      <c r="F7" s="1" t="s">
        <v>18</v>
      </c>
    </row>
    <row r="8">
      <c r="A8" s="1" t="s">
        <v>21</v>
      </c>
      <c r="B8" s="1" t="s">
        <v>191</v>
      </c>
      <c r="C8" s="1"/>
      <c r="E8" s="1" t="s">
        <v>23</v>
      </c>
      <c r="F8" s="1" t="s">
        <v>12</v>
      </c>
    </row>
    <row r="9">
      <c r="A9" s="1" t="s">
        <v>26</v>
      </c>
      <c r="B9" s="1">
        <v>1.0</v>
      </c>
      <c r="C9" s="1" t="s">
        <v>187</v>
      </c>
      <c r="E9" s="1" t="b">
        <v>1</v>
      </c>
      <c r="F9" s="1" t="s">
        <v>12</v>
      </c>
    </row>
    <row r="10">
      <c r="A10" s="1" t="s">
        <v>26</v>
      </c>
      <c r="B10" s="1">
        <v>2.0</v>
      </c>
      <c r="C10" s="1" t="s">
        <v>187</v>
      </c>
      <c r="D10" s="1"/>
      <c r="E10" s="1" t="b">
        <v>1</v>
      </c>
      <c r="F10" s="1" t="s">
        <v>12</v>
      </c>
    </row>
    <row r="11">
      <c r="A11" s="1" t="s">
        <v>26</v>
      </c>
      <c r="B11" s="1">
        <v>3.0</v>
      </c>
      <c r="C11" s="1" t="s">
        <v>188</v>
      </c>
      <c r="D11" s="1" t="s">
        <v>12</v>
      </c>
      <c r="E11" s="1" t="b">
        <v>1</v>
      </c>
      <c r="F11" s="1" t="s">
        <v>12</v>
      </c>
    </row>
    <row r="12">
      <c r="A12" s="1" t="s">
        <v>26</v>
      </c>
      <c r="B12" s="1">
        <v>3.0</v>
      </c>
      <c r="C12" s="1" t="s">
        <v>189</v>
      </c>
      <c r="D12" s="1" t="s">
        <v>12</v>
      </c>
      <c r="E12" s="1" t="b">
        <v>1</v>
      </c>
      <c r="F12" s="1" t="s">
        <v>12</v>
      </c>
    </row>
    <row r="13">
      <c r="A13" s="1" t="s">
        <v>26</v>
      </c>
      <c r="B13" s="1">
        <v>3.0</v>
      </c>
      <c r="C13" s="1" t="s">
        <v>190</v>
      </c>
      <c r="E13" s="1" t="b">
        <v>0</v>
      </c>
      <c r="F13" s="1" t="s">
        <v>12</v>
      </c>
    </row>
    <row r="14">
      <c r="A14" s="1" t="s">
        <v>26</v>
      </c>
      <c r="B14" s="1" t="s">
        <v>43</v>
      </c>
      <c r="C14" s="1" t="s">
        <v>187</v>
      </c>
      <c r="D14" s="1" t="s">
        <v>192</v>
      </c>
      <c r="E14" s="1" t="b">
        <v>1</v>
      </c>
      <c r="F14" s="1" t="s">
        <v>18</v>
      </c>
    </row>
    <row r="15">
      <c r="F15" s="2">
        <f>COUNTIF(F2:F14,"Yes")/COUNTA(F2:F14)</f>
        <v>0.3846153846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193</v>
      </c>
      <c r="C1" s="1" t="s">
        <v>194</v>
      </c>
      <c r="D1" s="1" t="s">
        <v>195</v>
      </c>
      <c r="E1" s="1" t="s">
        <v>4</v>
      </c>
      <c r="F1" s="1" t="s">
        <v>6</v>
      </c>
      <c r="G1" s="1" t="s">
        <v>7</v>
      </c>
    </row>
    <row r="2">
      <c r="A2" s="1" t="s">
        <v>8</v>
      </c>
      <c r="B2" s="1" t="s">
        <v>31</v>
      </c>
      <c r="C2" s="1" t="s">
        <v>31</v>
      </c>
      <c r="D2" s="1" t="s">
        <v>109</v>
      </c>
      <c r="E2" s="1" t="s">
        <v>142</v>
      </c>
      <c r="F2" s="1" t="s">
        <v>48</v>
      </c>
      <c r="G2" s="1" t="s">
        <v>12</v>
      </c>
    </row>
    <row r="3">
      <c r="A3" s="1" t="s">
        <v>8</v>
      </c>
      <c r="B3" s="1" t="s">
        <v>32</v>
      </c>
      <c r="C3" s="1" t="s">
        <v>31</v>
      </c>
      <c r="D3" s="1" t="s">
        <v>109</v>
      </c>
      <c r="E3" s="1" t="s">
        <v>12</v>
      </c>
      <c r="F3" s="1" t="s">
        <v>48</v>
      </c>
      <c r="G3" s="1" t="s">
        <v>18</v>
      </c>
    </row>
    <row r="4">
      <c r="A4" s="1" t="s">
        <v>8</v>
      </c>
      <c r="B4" s="1" t="s">
        <v>31</v>
      </c>
      <c r="C4" s="1" t="s">
        <v>32</v>
      </c>
      <c r="D4" s="1" t="s">
        <v>109</v>
      </c>
      <c r="E4" s="1" t="s">
        <v>12</v>
      </c>
      <c r="F4" s="1" t="s">
        <v>48</v>
      </c>
      <c r="G4" s="1" t="s">
        <v>12</v>
      </c>
    </row>
    <row r="5">
      <c r="A5" s="1" t="s">
        <v>8</v>
      </c>
      <c r="B5" s="1" t="s">
        <v>32</v>
      </c>
      <c r="C5" s="1" t="s">
        <v>32</v>
      </c>
      <c r="D5" s="1" t="s">
        <v>196</v>
      </c>
      <c r="E5" s="1" t="s">
        <v>12</v>
      </c>
      <c r="F5" s="1" t="s">
        <v>197</v>
      </c>
      <c r="G5" s="1" t="s">
        <v>12</v>
      </c>
    </row>
    <row r="6">
      <c r="A6" s="1" t="s">
        <v>8</v>
      </c>
      <c r="B6" s="3" t="s">
        <v>32</v>
      </c>
      <c r="C6" s="3" t="s">
        <v>32</v>
      </c>
      <c r="D6" s="1" t="s">
        <v>198</v>
      </c>
      <c r="E6" s="1" t="s">
        <v>12</v>
      </c>
      <c r="F6" s="1" t="s">
        <v>199</v>
      </c>
      <c r="G6" s="1" t="s">
        <v>18</v>
      </c>
    </row>
    <row r="7">
      <c r="A7" s="1" t="s">
        <v>8</v>
      </c>
      <c r="B7" s="3" t="s">
        <v>32</v>
      </c>
      <c r="C7" s="3" t="s">
        <v>32</v>
      </c>
      <c r="D7" s="1" t="s">
        <v>198</v>
      </c>
      <c r="E7" s="1" t="s">
        <v>18</v>
      </c>
      <c r="F7" s="1" t="s">
        <v>199</v>
      </c>
      <c r="G7" s="1" t="s">
        <v>12</v>
      </c>
    </row>
    <row r="8">
      <c r="A8" s="1" t="s">
        <v>21</v>
      </c>
      <c r="B8" s="1" t="s">
        <v>8</v>
      </c>
      <c r="C8" s="1" t="s">
        <v>200</v>
      </c>
      <c r="D8" s="1" t="s">
        <v>9</v>
      </c>
      <c r="E8" s="1" t="s">
        <v>11</v>
      </c>
      <c r="F8" s="1" t="s">
        <v>23</v>
      </c>
      <c r="G8" s="1" t="s">
        <v>12</v>
      </c>
    </row>
    <row r="9">
      <c r="A9" s="1" t="s">
        <v>21</v>
      </c>
      <c r="B9" s="1" t="s">
        <v>200</v>
      </c>
      <c r="C9" s="1" t="s">
        <v>8</v>
      </c>
      <c r="D9" s="1" t="s">
        <v>9</v>
      </c>
      <c r="E9" s="1" t="s">
        <v>11</v>
      </c>
      <c r="F9" s="1" t="s">
        <v>23</v>
      </c>
      <c r="G9" s="1" t="s">
        <v>12</v>
      </c>
    </row>
    <row r="10">
      <c r="A10" s="1" t="s">
        <v>26</v>
      </c>
      <c r="B10" s="3" t="s">
        <v>32</v>
      </c>
      <c r="C10" s="3" t="s">
        <v>32</v>
      </c>
      <c r="D10" s="1" t="s">
        <v>102</v>
      </c>
      <c r="E10" s="1" t="s">
        <v>11</v>
      </c>
      <c r="F10" s="1" t="s">
        <v>201</v>
      </c>
      <c r="G10" s="1" t="s">
        <v>12</v>
      </c>
    </row>
    <row r="11">
      <c r="G11" s="2">
        <f>COUNTIF(G2:G10, "Yes")/COUNTA(G2:G10)</f>
        <v>0.2222222222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202</v>
      </c>
      <c r="C1" s="1" t="s">
        <v>203</v>
      </c>
      <c r="D1" s="1" t="s">
        <v>204</v>
      </c>
      <c r="E1" s="1" t="s">
        <v>205</v>
      </c>
      <c r="F1" s="1" t="s">
        <v>6</v>
      </c>
      <c r="G1" s="1" t="s">
        <v>7</v>
      </c>
    </row>
    <row r="2">
      <c r="A2" s="1" t="s">
        <v>8</v>
      </c>
      <c r="B2" s="1" t="s">
        <v>45</v>
      </c>
      <c r="C2" s="1" t="s">
        <v>45</v>
      </c>
      <c r="D2" s="1" t="s">
        <v>43</v>
      </c>
      <c r="E2" s="1" t="s">
        <v>206</v>
      </c>
      <c r="F2" s="1" t="s">
        <v>46</v>
      </c>
      <c r="G2" s="1" t="s">
        <v>18</v>
      </c>
    </row>
    <row r="3">
      <c r="A3" s="1" t="s">
        <v>8</v>
      </c>
      <c r="B3" s="1" t="s">
        <v>45</v>
      </c>
      <c r="C3" s="1" t="s">
        <v>45</v>
      </c>
      <c r="D3" s="1" t="s">
        <v>43</v>
      </c>
      <c r="E3" s="1" t="s">
        <v>207</v>
      </c>
      <c r="F3" s="1" t="s">
        <v>46</v>
      </c>
      <c r="G3" s="1" t="s">
        <v>18</v>
      </c>
    </row>
    <row r="4">
      <c r="A4" s="1" t="s">
        <v>8</v>
      </c>
      <c r="B4" s="1" t="s">
        <v>45</v>
      </c>
      <c r="C4" s="1" t="s">
        <v>45</v>
      </c>
      <c r="D4" s="1" t="s">
        <v>43</v>
      </c>
      <c r="E4" s="1" t="s">
        <v>204</v>
      </c>
      <c r="F4" s="1" t="s">
        <v>208</v>
      </c>
      <c r="G4" s="1" t="s">
        <v>18</v>
      </c>
    </row>
    <row r="5">
      <c r="A5" s="1" t="s">
        <v>21</v>
      </c>
      <c r="B5" s="1" t="s">
        <v>209</v>
      </c>
      <c r="C5" s="1" t="s">
        <v>45</v>
      </c>
      <c r="F5" s="1" t="s">
        <v>23</v>
      </c>
      <c r="G5" s="1" t="s">
        <v>12</v>
      </c>
    </row>
    <row r="6">
      <c r="A6" s="1" t="s">
        <v>21</v>
      </c>
      <c r="B6" s="1" t="s">
        <v>45</v>
      </c>
      <c r="C6" s="1" t="s">
        <v>209</v>
      </c>
      <c r="F6" s="1" t="s">
        <v>23</v>
      </c>
      <c r="G6" s="1" t="s">
        <v>12</v>
      </c>
    </row>
    <row r="7">
      <c r="A7" s="1" t="s">
        <v>26</v>
      </c>
      <c r="B7" s="1" t="s">
        <v>210</v>
      </c>
      <c r="C7" s="1" t="s">
        <v>45</v>
      </c>
      <c r="D7" s="1">
        <v>1.0</v>
      </c>
      <c r="E7" s="1" t="s">
        <v>11</v>
      </c>
      <c r="F7" s="1" t="s">
        <v>208</v>
      </c>
      <c r="G7" s="1" t="s">
        <v>12</v>
      </c>
    </row>
    <row r="8">
      <c r="G8" s="2">
        <f>COUNTIF(G2:G7, "Yes")/COUNTA(G2:G7)</f>
        <v>0.5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211</v>
      </c>
      <c r="D1" s="1" t="s">
        <v>212</v>
      </c>
      <c r="E1" s="1" t="s">
        <v>6</v>
      </c>
      <c r="F1" s="1" t="s">
        <v>7</v>
      </c>
    </row>
    <row r="2">
      <c r="A2" s="1" t="s">
        <v>8</v>
      </c>
      <c r="B2" s="1" t="s">
        <v>31</v>
      </c>
      <c r="C2" s="1" t="s">
        <v>9</v>
      </c>
      <c r="D2" s="1" t="s">
        <v>142</v>
      </c>
      <c r="E2" s="1">
        <v>-1.0</v>
      </c>
      <c r="F2" s="1" t="s">
        <v>12</v>
      </c>
    </row>
    <row r="3">
      <c r="A3" s="1" t="s">
        <v>8</v>
      </c>
      <c r="B3" s="1">
        <v>1.0</v>
      </c>
      <c r="C3" s="1" t="s">
        <v>60</v>
      </c>
      <c r="D3" s="1" t="s">
        <v>12</v>
      </c>
      <c r="E3" s="1">
        <v>-1.0</v>
      </c>
      <c r="F3" s="1" t="s">
        <v>18</v>
      </c>
    </row>
    <row r="4">
      <c r="A4" s="1" t="s">
        <v>8</v>
      </c>
      <c r="B4" s="1">
        <v>1.0</v>
      </c>
      <c r="C4" s="1" t="s">
        <v>60</v>
      </c>
      <c r="D4" s="1" t="s">
        <v>18</v>
      </c>
      <c r="E4" s="1" t="s">
        <v>213</v>
      </c>
      <c r="F4" s="1" t="s">
        <v>18</v>
      </c>
    </row>
    <row r="5">
      <c r="A5" s="1" t="s">
        <v>8</v>
      </c>
      <c r="B5" s="1" t="s">
        <v>14</v>
      </c>
      <c r="C5" s="1" t="s">
        <v>214</v>
      </c>
      <c r="D5" s="1" t="s">
        <v>142</v>
      </c>
      <c r="E5" s="1">
        <v>-1.0</v>
      </c>
      <c r="F5" s="1" t="s">
        <v>12</v>
      </c>
    </row>
    <row r="6">
      <c r="A6" s="1" t="s">
        <v>8</v>
      </c>
      <c r="B6" s="1" t="s">
        <v>14</v>
      </c>
      <c r="C6" s="1" t="s">
        <v>215</v>
      </c>
      <c r="D6" s="1" t="s">
        <v>12</v>
      </c>
      <c r="E6" s="1">
        <v>-1.0</v>
      </c>
      <c r="F6" s="1" t="s">
        <v>18</v>
      </c>
    </row>
    <row r="7">
      <c r="A7" s="1" t="s">
        <v>8</v>
      </c>
      <c r="B7" s="1" t="s">
        <v>14</v>
      </c>
      <c r="C7" s="1" t="s">
        <v>215</v>
      </c>
      <c r="D7" s="1" t="s">
        <v>216</v>
      </c>
      <c r="E7" s="1" t="s">
        <v>217</v>
      </c>
      <c r="F7" s="1" t="s">
        <v>18</v>
      </c>
    </row>
    <row r="8">
      <c r="A8" s="1" t="s">
        <v>8</v>
      </c>
      <c r="B8" s="1" t="s">
        <v>14</v>
      </c>
      <c r="C8" s="1" t="s">
        <v>215</v>
      </c>
      <c r="D8" s="1" t="s">
        <v>218</v>
      </c>
      <c r="E8" s="1" t="s">
        <v>219</v>
      </c>
      <c r="F8" s="1" t="s">
        <v>18</v>
      </c>
    </row>
    <row r="9">
      <c r="A9" s="1" t="s">
        <v>26</v>
      </c>
      <c r="B9" s="1" t="s">
        <v>14</v>
      </c>
      <c r="C9" s="1" t="s">
        <v>220</v>
      </c>
      <c r="D9" s="1" t="s">
        <v>157</v>
      </c>
      <c r="E9" s="1">
        <v>1.0</v>
      </c>
      <c r="F9" s="1" t="s">
        <v>18</v>
      </c>
    </row>
    <row r="10">
      <c r="A10" s="1" t="s">
        <v>26</v>
      </c>
      <c r="B10" s="1" t="s">
        <v>14</v>
      </c>
      <c r="C10" s="1" t="s">
        <v>221</v>
      </c>
      <c r="D10" s="1" t="s">
        <v>157</v>
      </c>
      <c r="E10" s="1" t="s">
        <v>217</v>
      </c>
      <c r="F10" s="1" t="s">
        <v>18</v>
      </c>
    </row>
    <row r="11">
      <c r="A11" s="1" t="s">
        <v>21</v>
      </c>
      <c r="B11" s="1" t="s">
        <v>19</v>
      </c>
      <c r="C11" s="1" t="s">
        <v>47</v>
      </c>
      <c r="D11" s="1" t="s">
        <v>9</v>
      </c>
      <c r="E11" s="1" t="s">
        <v>23</v>
      </c>
      <c r="F11" s="1" t="s">
        <v>12</v>
      </c>
    </row>
    <row r="12">
      <c r="F12" s="2">
        <f>COUNTIF(F2:F11,"Yes")/COUNTA(F2:F11)</f>
        <v>0.7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158</v>
      </c>
      <c r="C1" s="1" t="s">
        <v>167</v>
      </c>
      <c r="D1" s="1" t="s">
        <v>222</v>
      </c>
      <c r="E1" s="1" t="s">
        <v>6</v>
      </c>
      <c r="F1" s="1" t="s">
        <v>7</v>
      </c>
    </row>
    <row r="2">
      <c r="A2" s="1" t="s">
        <v>26</v>
      </c>
      <c r="B2" s="1">
        <v>1.0</v>
      </c>
      <c r="C2" s="1" t="s">
        <v>223</v>
      </c>
      <c r="D2" s="1" t="s">
        <v>157</v>
      </c>
      <c r="E2" s="1" t="b">
        <v>1</v>
      </c>
      <c r="F2" s="1" t="s">
        <v>18</v>
      </c>
    </row>
    <row r="3">
      <c r="A3" s="1" t="s">
        <v>26</v>
      </c>
      <c r="B3" s="1" t="s">
        <v>224</v>
      </c>
      <c r="C3" s="1">
        <v>1.0</v>
      </c>
      <c r="D3" s="1" t="s">
        <v>142</v>
      </c>
      <c r="E3" s="1" t="b">
        <v>0</v>
      </c>
      <c r="F3" s="1" t="s">
        <v>18</v>
      </c>
    </row>
    <row r="4">
      <c r="A4" s="1" t="s">
        <v>8</v>
      </c>
      <c r="B4" s="1" t="s">
        <v>224</v>
      </c>
      <c r="C4" s="1" t="s">
        <v>224</v>
      </c>
      <c r="D4" s="1" t="s">
        <v>12</v>
      </c>
      <c r="E4" s="1" t="b">
        <v>0</v>
      </c>
      <c r="F4" s="1" t="s">
        <v>18</v>
      </c>
    </row>
    <row r="5">
      <c r="A5" s="1" t="s">
        <v>8</v>
      </c>
      <c r="B5" s="1" t="s">
        <v>224</v>
      </c>
      <c r="C5" s="1" t="s">
        <v>224</v>
      </c>
      <c r="D5" s="1" t="s">
        <v>18</v>
      </c>
      <c r="E5" s="1" t="b">
        <v>1</v>
      </c>
      <c r="F5" s="1" t="s">
        <v>18</v>
      </c>
    </row>
    <row r="6">
      <c r="A6" s="1" t="s">
        <v>8</v>
      </c>
      <c r="B6" s="1" t="s">
        <v>224</v>
      </c>
      <c r="C6" s="1" t="s">
        <v>225</v>
      </c>
      <c r="D6" s="1" t="s">
        <v>11</v>
      </c>
      <c r="E6" s="1" t="s">
        <v>11</v>
      </c>
      <c r="F6" s="1" t="s">
        <v>12</v>
      </c>
    </row>
    <row r="7">
      <c r="A7" s="1" t="s">
        <v>8</v>
      </c>
      <c r="B7" s="1" t="s">
        <v>225</v>
      </c>
      <c r="C7" s="1" t="s">
        <v>224</v>
      </c>
      <c r="D7" s="1" t="s">
        <v>11</v>
      </c>
      <c r="E7" s="1" t="s">
        <v>11</v>
      </c>
      <c r="F7" s="1" t="s">
        <v>12</v>
      </c>
    </row>
    <row r="8">
      <c r="A8" s="1" t="s">
        <v>8</v>
      </c>
      <c r="B8" s="1" t="s">
        <v>225</v>
      </c>
      <c r="C8" s="1" t="s">
        <v>225</v>
      </c>
      <c r="D8" s="1" t="s">
        <v>11</v>
      </c>
      <c r="E8" s="1" t="s">
        <v>11</v>
      </c>
      <c r="F8" s="1" t="s">
        <v>12</v>
      </c>
    </row>
    <row r="9">
      <c r="A9" s="1" t="s">
        <v>21</v>
      </c>
      <c r="B9" s="1" t="s">
        <v>47</v>
      </c>
      <c r="C9" s="1" t="s">
        <v>8</v>
      </c>
      <c r="D9" s="1" t="s">
        <v>9</v>
      </c>
      <c r="E9" s="1" t="s">
        <v>23</v>
      </c>
      <c r="F9" s="1" t="s">
        <v>12</v>
      </c>
    </row>
    <row r="10">
      <c r="A10" s="1" t="s">
        <v>21</v>
      </c>
      <c r="B10" s="1" t="s">
        <v>8</v>
      </c>
      <c r="C10" s="1" t="s">
        <v>47</v>
      </c>
      <c r="D10" s="1" t="s">
        <v>9</v>
      </c>
      <c r="E10" s="1" t="s">
        <v>23</v>
      </c>
      <c r="F10" s="1" t="s">
        <v>12</v>
      </c>
    </row>
    <row r="11">
      <c r="F11" s="2">
        <f>COUNTIF(F2:F10, "Yes")/COUNTA(F2:F10)</f>
        <v>0.4444444444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226</v>
      </c>
      <c r="D1" s="1" t="s">
        <v>227</v>
      </c>
      <c r="E1" s="1" t="s">
        <v>6</v>
      </c>
      <c r="F1" s="1" t="s">
        <v>7</v>
      </c>
    </row>
    <row r="2">
      <c r="A2" s="1" t="s">
        <v>26</v>
      </c>
      <c r="B2" s="1" t="s">
        <v>31</v>
      </c>
      <c r="C2" s="1" t="s">
        <v>157</v>
      </c>
      <c r="D2" s="1" t="s">
        <v>228</v>
      </c>
      <c r="E2" s="1" t="b">
        <v>1</v>
      </c>
      <c r="F2" s="1" t="s">
        <v>18</v>
      </c>
    </row>
    <row r="3">
      <c r="A3" s="1" t="s">
        <v>26</v>
      </c>
      <c r="B3" s="1">
        <v>1.0</v>
      </c>
      <c r="C3" s="1" t="s">
        <v>157</v>
      </c>
      <c r="D3" s="1" t="s">
        <v>228</v>
      </c>
      <c r="E3" s="1" t="b">
        <v>1</v>
      </c>
      <c r="F3" s="1" t="s">
        <v>12</v>
      </c>
    </row>
    <row r="4">
      <c r="A4" s="1" t="s">
        <v>8</v>
      </c>
      <c r="B4" s="1" t="s">
        <v>14</v>
      </c>
      <c r="C4" s="1" t="s">
        <v>229</v>
      </c>
      <c r="D4" s="1" t="s">
        <v>228</v>
      </c>
      <c r="E4" s="1" t="b">
        <v>1</v>
      </c>
      <c r="F4" s="1" t="s">
        <v>12</v>
      </c>
    </row>
    <row r="5">
      <c r="A5" s="1" t="s">
        <v>8</v>
      </c>
      <c r="B5" s="1" t="s">
        <v>14</v>
      </c>
      <c r="C5" s="1" t="s">
        <v>12</v>
      </c>
      <c r="D5" s="1" t="s">
        <v>230</v>
      </c>
      <c r="E5" s="1" t="b">
        <v>1</v>
      </c>
      <c r="F5" s="1" t="s">
        <v>12</v>
      </c>
    </row>
    <row r="6">
      <c r="A6" s="1" t="s">
        <v>26</v>
      </c>
      <c r="B6" s="1" t="s">
        <v>14</v>
      </c>
      <c r="C6" s="1" t="s">
        <v>12</v>
      </c>
      <c r="D6" s="1" t="s">
        <v>231</v>
      </c>
      <c r="E6" s="1" t="b">
        <v>1</v>
      </c>
      <c r="F6" s="1" t="s">
        <v>18</v>
      </c>
    </row>
    <row r="7">
      <c r="A7" s="1" t="s">
        <v>8</v>
      </c>
      <c r="B7" s="1" t="s">
        <v>14</v>
      </c>
      <c r="C7" s="1" t="s">
        <v>12</v>
      </c>
      <c r="D7" s="1" t="s">
        <v>232</v>
      </c>
      <c r="E7" s="1" t="b">
        <v>0</v>
      </c>
      <c r="F7" s="1" t="s">
        <v>18</v>
      </c>
    </row>
    <row r="8">
      <c r="A8" s="1" t="s">
        <v>21</v>
      </c>
      <c r="B8" s="1" t="s">
        <v>233</v>
      </c>
      <c r="C8" s="1" t="s">
        <v>9</v>
      </c>
      <c r="D8" s="1" t="s">
        <v>9</v>
      </c>
      <c r="E8" s="1" t="s">
        <v>23</v>
      </c>
      <c r="F8" s="1" t="s">
        <v>12</v>
      </c>
    </row>
    <row r="9">
      <c r="F9" s="2">
        <f>COUNTIF(F2:F8,"Yes")/COUNTA(F2:F8)</f>
        <v>0.4285714286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193</v>
      </c>
      <c r="C1" s="1" t="s">
        <v>194</v>
      </c>
      <c r="D1" s="1" t="s">
        <v>6</v>
      </c>
      <c r="E1" s="1" t="s">
        <v>7</v>
      </c>
    </row>
    <row r="2">
      <c r="A2" s="1" t="s">
        <v>26</v>
      </c>
      <c r="B2" s="1" t="s">
        <v>234</v>
      </c>
      <c r="C2" s="1" t="s">
        <v>11</v>
      </c>
      <c r="D2" s="1" t="s">
        <v>18</v>
      </c>
      <c r="E2" s="1" t="s">
        <v>18</v>
      </c>
    </row>
    <row r="3">
      <c r="A3" s="1" t="s">
        <v>8</v>
      </c>
      <c r="B3" s="1" t="s">
        <v>235</v>
      </c>
      <c r="C3" s="1" t="s">
        <v>236</v>
      </c>
      <c r="D3" s="1" t="s">
        <v>12</v>
      </c>
      <c r="E3" s="1" t="s">
        <v>12</v>
      </c>
    </row>
    <row r="4">
      <c r="A4" s="1" t="s">
        <v>8</v>
      </c>
      <c r="B4" s="1" t="s">
        <v>235</v>
      </c>
      <c r="C4" s="1" t="s">
        <v>237</v>
      </c>
      <c r="D4" s="1" t="s">
        <v>12</v>
      </c>
      <c r="E4" s="1" t="s">
        <v>18</v>
      </c>
    </row>
    <row r="5">
      <c r="A5" s="1" t="s">
        <v>8</v>
      </c>
      <c r="B5" s="1" t="s">
        <v>235</v>
      </c>
      <c r="C5" s="1" t="s">
        <v>238</v>
      </c>
      <c r="D5" s="1" t="s">
        <v>12</v>
      </c>
      <c r="E5" s="1" t="s">
        <v>18</v>
      </c>
    </row>
    <row r="6">
      <c r="A6" s="1" t="s">
        <v>26</v>
      </c>
      <c r="B6" s="1" t="s">
        <v>235</v>
      </c>
      <c r="C6" s="1" t="s">
        <v>239</v>
      </c>
      <c r="D6" s="1" t="s">
        <v>18</v>
      </c>
      <c r="E6" s="1" t="s">
        <v>18</v>
      </c>
    </row>
    <row r="7">
      <c r="A7" s="1" t="s">
        <v>8</v>
      </c>
      <c r="B7" s="1" t="s">
        <v>235</v>
      </c>
      <c r="C7" s="1" t="s">
        <v>240</v>
      </c>
      <c r="D7" s="1" t="s">
        <v>18</v>
      </c>
      <c r="E7" s="1" t="s">
        <v>12</v>
      </c>
    </row>
    <row r="8">
      <c r="A8" s="1" t="s">
        <v>21</v>
      </c>
      <c r="B8" s="1" t="s">
        <v>241</v>
      </c>
      <c r="C8" s="1" t="s">
        <v>8</v>
      </c>
      <c r="D8" s="1" t="s">
        <v>23</v>
      </c>
      <c r="E8" s="1" t="s">
        <v>12</v>
      </c>
    </row>
    <row r="9">
      <c r="A9" s="1" t="s">
        <v>21</v>
      </c>
      <c r="B9" s="1" t="s">
        <v>8</v>
      </c>
      <c r="C9" s="1" t="s">
        <v>241</v>
      </c>
      <c r="D9" s="1" t="s">
        <v>23</v>
      </c>
      <c r="E9" s="1" t="s">
        <v>12</v>
      </c>
    </row>
    <row r="10">
      <c r="E10" s="2">
        <f>COUNTIF(E2:E9, "Yes")/COUNTA(E2:E9)</f>
        <v>0.5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28</v>
      </c>
      <c r="C1" s="1" t="s">
        <v>242</v>
      </c>
      <c r="D1" s="1" t="s">
        <v>243</v>
      </c>
      <c r="E1" s="1" t="s">
        <v>6</v>
      </c>
      <c r="F1" s="1" t="s">
        <v>7</v>
      </c>
    </row>
    <row r="2">
      <c r="A2" s="1" t="s">
        <v>8</v>
      </c>
      <c r="B2" s="1" t="s">
        <v>244</v>
      </c>
      <c r="E2" s="1" t="b">
        <v>0</v>
      </c>
      <c r="F2" s="1" t="s">
        <v>18</v>
      </c>
    </row>
    <row r="3">
      <c r="A3" s="1" t="s">
        <v>8</v>
      </c>
      <c r="B3" s="1" t="s">
        <v>8</v>
      </c>
      <c r="C3" s="1" t="s">
        <v>245</v>
      </c>
      <c r="D3" s="1" t="s">
        <v>246</v>
      </c>
      <c r="E3" s="1" t="b">
        <v>1</v>
      </c>
      <c r="F3" s="1" t="s">
        <v>18</v>
      </c>
    </row>
    <row r="4">
      <c r="A4" s="1" t="s">
        <v>8</v>
      </c>
      <c r="D4" s="1" t="s">
        <v>247</v>
      </c>
      <c r="E4" s="1" t="b">
        <v>0</v>
      </c>
      <c r="F4" s="1" t="s">
        <v>12</v>
      </c>
    </row>
    <row r="5">
      <c r="A5" s="1" t="s">
        <v>8</v>
      </c>
      <c r="B5" s="1" t="s">
        <v>8</v>
      </c>
      <c r="C5" s="1" t="s">
        <v>248</v>
      </c>
      <c r="D5" s="1" t="s">
        <v>249</v>
      </c>
      <c r="E5" s="1" t="b">
        <v>1</v>
      </c>
      <c r="F5" s="1" t="s">
        <v>18</v>
      </c>
    </row>
    <row r="6">
      <c r="A6" s="1" t="s">
        <v>8</v>
      </c>
      <c r="D6" s="1" t="s">
        <v>250</v>
      </c>
      <c r="E6" s="1" t="b">
        <v>0</v>
      </c>
      <c r="F6" s="1" t="s">
        <v>18</v>
      </c>
    </row>
    <row r="7">
      <c r="A7" s="1" t="s">
        <v>8</v>
      </c>
      <c r="B7" s="1" t="s">
        <v>8</v>
      </c>
      <c r="C7" s="1" t="s">
        <v>251</v>
      </c>
      <c r="D7" s="6" t="s">
        <v>252</v>
      </c>
      <c r="E7" s="1" t="b">
        <v>1</v>
      </c>
      <c r="F7" s="1" t="s">
        <v>12</v>
      </c>
    </row>
    <row r="8">
      <c r="A8" s="1" t="s">
        <v>8</v>
      </c>
      <c r="D8" s="1" t="s">
        <v>250</v>
      </c>
      <c r="E8" s="1" t="b">
        <v>0</v>
      </c>
      <c r="F8" s="1" t="s">
        <v>18</v>
      </c>
    </row>
    <row r="9">
      <c r="A9" s="1" t="s">
        <v>8</v>
      </c>
      <c r="B9" s="1" t="s">
        <v>8</v>
      </c>
      <c r="D9" s="6" t="s">
        <v>253</v>
      </c>
      <c r="E9" s="1" t="b">
        <v>0</v>
      </c>
      <c r="F9" s="1" t="s">
        <v>18</v>
      </c>
    </row>
    <row r="10">
      <c r="A10" s="1" t="s">
        <v>8</v>
      </c>
      <c r="B10" s="1" t="s">
        <v>8</v>
      </c>
      <c r="C10" s="6" t="s">
        <v>253</v>
      </c>
      <c r="E10" s="1" t="b">
        <v>0</v>
      </c>
      <c r="F10" s="1" t="s">
        <v>12</v>
      </c>
    </row>
    <row r="11">
      <c r="A11" s="1" t="s">
        <v>8</v>
      </c>
      <c r="B11" s="1" t="s">
        <v>8</v>
      </c>
      <c r="C11" s="1" t="s">
        <v>254</v>
      </c>
      <c r="E11" s="1" t="b">
        <v>0</v>
      </c>
      <c r="F11" s="1" t="s">
        <v>18</v>
      </c>
    </row>
    <row r="12">
      <c r="A12" s="1" t="s">
        <v>8</v>
      </c>
      <c r="B12" s="1" t="s">
        <v>83</v>
      </c>
      <c r="E12" s="1" t="b">
        <v>0</v>
      </c>
      <c r="F12" s="1" t="s">
        <v>18</v>
      </c>
    </row>
    <row r="13">
      <c r="A13" s="1" t="s">
        <v>21</v>
      </c>
      <c r="B13" s="1" t="s">
        <v>38</v>
      </c>
      <c r="E13" s="1" t="s">
        <v>23</v>
      </c>
      <c r="F13" s="1" t="s">
        <v>12</v>
      </c>
    </row>
    <row r="14">
      <c r="A14" s="1" t="s">
        <v>21</v>
      </c>
      <c r="B14" s="1" t="s">
        <v>124</v>
      </c>
      <c r="E14" s="1" t="s">
        <v>23</v>
      </c>
      <c r="F14" s="1" t="s">
        <v>12</v>
      </c>
    </row>
    <row r="15">
      <c r="A15" s="1" t="s">
        <v>26</v>
      </c>
      <c r="B15" s="1" t="s">
        <v>8</v>
      </c>
      <c r="C15" s="6" t="s">
        <v>255</v>
      </c>
      <c r="D15" s="1">
        <v>31.0</v>
      </c>
      <c r="E15" s="1" t="b">
        <v>1</v>
      </c>
      <c r="F15" s="1" t="s">
        <v>12</v>
      </c>
    </row>
    <row r="16">
      <c r="A16" s="1" t="s">
        <v>26</v>
      </c>
      <c r="B16" s="1" t="s">
        <v>8</v>
      </c>
      <c r="C16" s="6" t="s">
        <v>256</v>
      </c>
      <c r="D16" s="1">
        <v>31.0</v>
      </c>
      <c r="E16" s="1" t="b">
        <v>0</v>
      </c>
      <c r="F16" s="1" t="s">
        <v>18</v>
      </c>
    </row>
    <row r="17">
      <c r="A17" s="1" t="s">
        <v>26</v>
      </c>
      <c r="B17" s="1" t="s">
        <v>8</v>
      </c>
      <c r="C17" s="6" t="s">
        <v>256</v>
      </c>
      <c r="D17" s="1">
        <v>30.0</v>
      </c>
      <c r="E17" s="1" t="b">
        <v>1</v>
      </c>
      <c r="F17" s="1" t="s">
        <v>12</v>
      </c>
    </row>
    <row r="18">
      <c r="A18" s="1" t="s">
        <v>26</v>
      </c>
      <c r="B18" s="1" t="s">
        <v>8</v>
      </c>
      <c r="C18" s="6" t="s">
        <v>257</v>
      </c>
      <c r="D18" s="1">
        <v>31.0</v>
      </c>
      <c r="E18" s="1" t="b">
        <v>0</v>
      </c>
      <c r="F18" s="1" t="s">
        <v>12</v>
      </c>
    </row>
    <row r="19">
      <c r="A19" s="1" t="s">
        <v>26</v>
      </c>
      <c r="B19" s="1" t="s">
        <v>8</v>
      </c>
      <c r="C19" s="6" t="s">
        <v>257</v>
      </c>
      <c r="D19" s="1">
        <v>30.0</v>
      </c>
      <c r="E19" s="1" t="b">
        <v>0</v>
      </c>
      <c r="F19" s="1" t="s">
        <v>12</v>
      </c>
    </row>
    <row r="20">
      <c r="A20" s="1" t="s">
        <v>26</v>
      </c>
      <c r="B20" s="1" t="s">
        <v>8</v>
      </c>
      <c r="C20" s="6" t="s">
        <v>257</v>
      </c>
      <c r="D20" s="1">
        <v>29.0</v>
      </c>
      <c r="E20" s="1" t="b">
        <v>1</v>
      </c>
      <c r="F20" s="1" t="s">
        <v>12</v>
      </c>
    </row>
    <row r="21">
      <c r="F21" s="2">
        <f>COUNTIF(F2:F20, "Yes")/COUNTA(F2:F20)</f>
        <v>0.4736842105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258</v>
      </c>
      <c r="C1" s="1" t="s">
        <v>259</v>
      </c>
      <c r="D1" s="1" t="s">
        <v>260</v>
      </c>
      <c r="E1" s="1" t="s">
        <v>261</v>
      </c>
      <c r="F1" s="1" t="s">
        <v>6</v>
      </c>
      <c r="G1" s="1" t="s">
        <v>262</v>
      </c>
    </row>
    <row r="2">
      <c r="A2" s="1" t="s">
        <v>26</v>
      </c>
      <c r="B2" s="1" t="s">
        <v>263</v>
      </c>
      <c r="C2" s="1">
        <v>1.0</v>
      </c>
      <c r="D2" s="1" t="s">
        <v>263</v>
      </c>
      <c r="E2" s="1" t="s">
        <v>264</v>
      </c>
      <c r="F2" s="1" t="s">
        <v>265</v>
      </c>
      <c r="G2" s="1" t="s">
        <v>18</v>
      </c>
    </row>
    <row r="3">
      <c r="A3" s="1" t="s">
        <v>8</v>
      </c>
      <c r="B3" s="1" t="s">
        <v>146</v>
      </c>
      <c r="C3" s="1">
        <v>2.0</v>
      </c>
      <c r="D3" s="1" t="s">
        <v>263</v>
      </c>
      <c r="E3" s="1" t="s">
        <v>266</v>
      </c>
      <c r="F3" s="1" t="s">
        <v>267</v>
      </c>
      <c r="G3" s="1" t="s">
        <v>12</v>
      </c>
    </row>
    <row r="4">
      <c r="A4" s="1" t="s">
        <v>8</v>
      </c>
      <c r="B4" s="1" t="s">
        <v>188</v>
      </c>
      <c r="C4" s="1" t="s">
        <v>154</v>
      </c>
      <c r="D4" s="1" t="s">
        <v>268</v>
      </c>
      <c r="E4" s="1" t="s">
        <v>269</v>
      </c>
      <c r="F4" s="1" t="s">
        <v>270</v>
      </c>
      <c r="G4" s="1" t="s">
        <v>18</v>
      </c>
    </row>
    <row r="5">
      <c r="A5" s="1" t="s">
        <v>8</v>
      </c>
      <c r="B5" s="1" t="s">
        <v>263</v>
      </c>
      <c r="C5" s="1" t="s">
        <v>154</v>
      </c>
      <c r="D5" s="1" t="s">
        <v>263</v>
      </c>
      <c r="E5" s="1" t="s">
        <v>269</v>
      </c>
      <c r="F5" s="1" t="s">
        <v>271</v>
      </c>
      <c r="G5" s="1" t="s">
        <v>18</v>
      </c>
    </row>
    <row r="6">
      <c r="A6" s="1" t="s">
        <v>8</v>
      </c>
      <c r="B6" s="1" t="s">
        <v>263</v>
      </c>
      <c r="C6" s="1" t="s">
        <v>272</v>
      </c>
      <c r="D6" s="1" t="s">
        <v>263</v>
      </c>
      <c r="E6" s="1" t="s">
        <v>273</v>
      </c>
      <c r="F6" s="1" t="s">
        <v>271</v>
      </c>
      <c r="G6" s="1" t="s">
        <v>18</v>
      </c>
    </row>
    <row r="7">
      <c r="A7" s="1" t="s">
        <v>21</v>
      </c>
      <c r="B7" s="1" t="s">
        <v>274</v>
      </c>
      <c r="F7" s="1" t="s">
        <v>23</v>
      </c>
      <c r="G7" s="1" t="s">
        <v>12</v>
      </c>
    </row>
    <row r="8">
      <c r="A8" s="1" t="s">
        <v>21</v>
      </c>
      <c r="B8" s="1" t="s">
        <v>275</v>
      </c>
      <c r="F8" s="1" t="s">
        <v>23</v>
      </c>
      <c r="G8" s="1" t="s">
        <v>12</v>
      </c>
    </row>
    <row r="9">
      <c r="A9" s="1" t="s">
        <v>21</v>
      </c>
      <c r="B9" s="1" t="s">
        <v>8</v>
      </c>
      <c r="C9" s="1" t="s">
        <v>276</v>
      </c>
      <c r="F9" s="1" t="s">
        <v>23</v>
      </c>
      <c r="G9" s="1" t="s">
        <v>12</v>
      </c>
    </row>
    <row r="10">
      <c r="A10" s="1" t="s">
        <v>21</v>
      </c>
      <c r="B10" s="1" t="s">
        <v>277</v>
      </c>
      <c r="F10" s="1" t="s">
        <v>23</v>
      </c>
      <c r="G10" s="1" t="s">
        <v>12</v>
      </c>
    </row>
    <row r="11">
      <c r="A11" s="1" t="s">
        <v>21</v>
      </c>
      <c r="B11" s="1" t="s">
        <v>278</v>
      </c>
      <c r="F11" s="1" t="s">
        <v>23</v>
      </c>
      <c r="G11" s="1" t="s">
        <v>12</v>
      </c>
    </row>
    <row r="12">
      <c r="G12" s="2">
        <f>COUNTIF(G2:G11, "Yes")/COUNTA(G2:G11)</f>
        <v>0.4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279</v>
      </c>
      <c r="C1" s="1" t="s">
        <v>280</v>
      </c>
      <c r="D1" s="1" t="s">
        <v>6</v>
      </c>
      <c r="E1" s="1" t="s">
        <v>262</v>
      </c>
    </row>
    <row r="2">
      <c r="A2" s="1" t="s">
        <v>8</v>
      </c>
      <c r="B2" s="1">
        <v>0.0</v>
      </c>
      <c r="C2" s="1" t="s">
        <v>9</v>
      </c>
      <c r="D2" s="1" t="s">
        <v>281</v>
      </c>
      <c r="E2" s="1" t="s">
        <v>18</v>
      </c>
    </row>
    <row r="3">
      <c r="A3" s="1" t="s">
        <v>8</v>
      </c>
      <c r="B3" s="1">
        <v>1.0</v>
      </c>
      <c r="C3" s="1" t="s">
        <v>263</v>
      </c>
      <c r="D3" s="1" t="s">
        <v>282</v>
      </c>
      <c r="E3" s="1" t="s">
        <v>12</v>
      </c>
    </row>
    <row r="4">
      <c r="A4" s="1" t="s">
        <v>26</v>
      </c>
      <c r="B4" s="1">
        <v>2.0</v>
      </c>
      <c r="C4" s="1" t="s">
        <v>263</v>
      </c>
      <c r="D4" s="1" t="s">
        <v>282</v>
      </c>
      <c r="E4" s="1" t="s">
        <v>18</v>
      </c>
    </row>
    <row r="5">
      <c r="A5" s="1" t="s">
        <v>8</v>
      </c>
      <c r="B5" s="1" t="s">
        <v>154</v>
      </c>
      <c r="C5" s="1" t="s">
        <v>283</v>
      </c>
      <c r="D5" s="1" t="s">
        <v>282</v>
      </c>
      <c r="E5" s="1" t="s">
        <v>18</v>
      </c>
    </row>
    <row r="6">
      <c r="A6" s="1" t="s">
        <v>8</v>
      </c>
      <c r="B6" s="1" t="s">
        <v>154</v>
      </c>
      <c r="C6" s="1" t="s">
        <v>284</v>
      </c>
      <c r="D6" s="1" t="s">
        <v>285</v>
      </c>
      <c r="E6" s="1" t="s">
        <v>18</v>
      </c>
    </row>
    <row r="7">
      <c r="A7" s="1" t="s">
        <v>8</v>
      </c>
      <c r="B7" s="1" t="s">
        <v>154</v>
      </c>
      <c r="C7" s="1" t="s">
        <v>286</v>
      </c>
      <c r="D7" s="1" t="s">
        <v>287</v>
      </c>
      <c r="E7" s="1" t="s">
        <v>18</v>
      </c>
    </row>
    <row r="8">
      <c r="A8" s="1" t="s">
        <v>21</v>
      </c>
      <c r="B8" s="1" t="s">
        <v>288</v>
      </c>
      <c r="D8" s="1" t="s">
        <v>23</v>
      </c>
      <c r="E8" s="1" t="s">
        <v>12</v>
      </c>
    </row>
    <row r="9">
      <c r="E9" s="2">
        <f>COUNTIF(E2:E8, "Yes")/COUNTA(E2:E8)</f>
        <v>0.7142857143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289</v>
      </c>
      <c r="C1" s="1" t="s">
        <v>290</v>
      </c>
      <c r="D1" s="1" t="s">
        <v>118</v>
      </c>
      <c r="E1" s="1" t="s">
        <v>291</v>
      </c>
      <c r="F1" s="1" t="s">
        <v>6</v>
      </c>
      <c r="G1" s="1" t="s">
        <v>262</v>
      </c>
    </row>
    <row r="2">
      <c r="A2" s="1" t="s">
        <v>8</v>
      </c>
      <c r="B2" s="1" t="s">
        <v>292</v>
      </c>
      <c r="C2" s="1">
        <v>1.0</v>
      </c>
      <c r="D2" s="1" t="s">
        <v>8</v>
      </c>
      <c r="E2" s="1" t="s">
        <v>8</v>
      </c>
      <c r="F2" s="1" t="s">
        <v>18</v>
      </c>
      <c r="G2" s="1" t="s">
        <v>18</v>
      </c>
    </row>
    <row r="3">
      <c r="A3" s="1" t="s">
        <v>8</v>
      </c>
      <c r="B3" s="1" t="s">
        <v>293</v>
      </c>
      <c r="C3" s="1">
        <v>1.0</v>
      </c>
      <c r="D3" s="1" t="s">
        <v>8</v>
      </c>
      <c r="E3" s="1" t="s">
        <v>8</v>
      </c>
      <c r="F3" s="1" t="s">
        <v>12</v>
      </c>
      <c r="G3" s="1" t="s">
        <v>18</v>
      </c>
    </row>
    <row r="4">
      <c r="A4" s="1" t="s">
        <v>26</v>
      </c>
      <c r="B4" s="1" t="s">
        <v>292</v>
      </c>
      <c r="C4" s="1">
        <v>0.0</v>
      </c>
      <c r="D4" s="1" t="s">
        <v>9</v>
      </c>
      <c r="E4" s="1" t="s">
        <v>9</v>
      </c>
      <c r="F4" s="1" t="s">
        <v>12</v>
      </c>
      <c r="G4" s="1" t="s">
        <v>18</v>
      </c>
    </row>
    <row r="5">
      <c r="A5" s="1" t="s">
        <v>8</v>
      </c>
      <c r="B5" s="1" t="s">
        <v>292</v>
      </c>
      <c r="C5" s="1" t="s">
        <v>294</v>
      </c>
      <c r="D5" s="1" t="s">
        <v>9</v>
      </c>
      <c r="E5" s="1" t="s">
        <v>9</v>
      </c>
      <c r="F5" s="1" t="s">
        <v>12</v>
      </c>
      <c r="G5" s="1" t="s">
        <v>18</v>
      </c>
    </row>
    <row r="6">
      <c r="A6" s="1" t="s">
        <v>8</v>
      </c>
      <c r="B6" s="1" t="s">
        <v>292</v>
      </c>
      <c r="C6" s="1">
        <v>1.0</v>
      </c>
      <c r="D6" s="1" t="s">
        <v>31</v>
      </c>
      <c r="E6" s="1" t="s">
        <v>8</v>
      </c>
      <c r="F6" s="1" t="s">
        <v>12</v>
      </c>
      <c r="G6" s="1" t="s">
        <v>12</v>
      </c>
    </row>
    <row r="7">
      <c r="A7" s="1" t="s">
        <v>8</v>
      </c>
      <c r="B7" s="1" t="s">
        <v>292</v>
      </c>
      <c r="C7" s="1">
        <v>1.0</v>
      </c>
      <c r="D7" s="1" t="s">
        <v>295</v>
      </c>
      <c r="E7" s="1" t="s">
        <v>8</v>
      </c>
      <c r="F7" s="1" t="s">
        <v>12</v>
      </c>
      <c r="G7" s="1" t="s">
        <v>18</v>
      </c>
    </row>
    <row r="8">
      <c r="A8" s="1" t="s">
        <v>8</v>
      </c>
      <c r="B8" s="1" t="s">
        <v>292</v>
      </c>
      <c r="C8" s="1">
        <v>1.0</v>
      </c>
      <c r="D8" s="1" t="s">
        <v>8</v>
      </c>
      <c r="E8" s="1" t="s">
        <v>31</v>
      </c>
      <c r="F8" s="1" t="s">
        <v>12</v>
      </c>
      <c r="G8" s="1" t="s">
        <v>18</v>
      </c>
    </row>
    <row r="9">
      <c r="A9" s="1" t="s">
        <v>8</v>
      </c>
      <c r="B9" s="1" t="s">
        <v>292</v>
      </c>
      <c r="C9" s="1">
        <v>1.0</v>
      </c>
      <c r="D9" s="1" t="s">
        <v>8</v>
      </c>
      <c r="E9" s="1" t="s">
        <v>21</v>
      </c>
      <c r="F9" s="1" t="s">
        <v>12</v>
      </c>
      <c r="G9" s="1" t="s">
        <v>18</v>
      </c>
    </row>
    <row r="10">
      <c r="A10" s="1" t="s">
        <v>8</v>
      </c>
      <c r="B10" s="1" t="s">
        <v>292</v>
      </c>
      <c r="C10" s="1">
        <v>1.0</v>
      </c>
      <c r="D10" s="1" t="s">
        <v>8</v>
      </c>
      <c r="E10" s="1" t="s">
        <v>296</v>
      </c>
      <c r="F10" s="1" t="s">
        <v>12</v>
      </c>
      <c r="G10" s="1" t="s">
        <v>12</v>
      </c>
    </row>
    <row r="11">
      <c r="A11" s="1" t="s">
        <v>26</v>
      </c>
      <c r="B11" s="1" t="s">
        <v>292</v>
      </c>
      <c r="C11" s="1">
        <v>1.0</v>
      </c>
      <c r="D11" s="1" t="s">
        <v>297</v>
      </c>
      <c r="E11" s="1" t="s">
        <v>8</v>
      </c>
      <c r="F11" s="1" t="s">
        <v>18</v>
      </c>
      <c r="G11" s="1" t="s">
        <v>18</v>
      </c>
    </row>
    <row r="12">
      <c r="A12" s="1" t="s">
        <v>21</v>
      </c>
      <c r="B12" s="1" t="s">
        <v>288</v>
      </c>
      <c r="F12" s="1" t="s">
        <v>23</v>
      </c>
      <c r="G12" s="1" t="s">
        <v>12</v>
      </c>
    </row>
    <row r="13">
      <c r="G13" s="2">
        <f>COUNTIF(G2:G12,"Yes")/COUNTA(G2:G12)</f>
        <v>0.7272727273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298</v>
      </c>
      <c r="C1" s="1" t="s">
        <v>6</v>
      </c>
      <c r="D1" s="1" t="s">
        <v>262</v>
      </c>
    </row>
    <row r="2">
      <c r="A2" s="1" t="s">
        <v>8</v>
      </c>
      <c r="B2" s="7">
        <v>46082.0</v>
      </c>
      <c r="C2" s="1" t="s">
        <v>299</v>
      </c>
      <c r="D2" s="1" t="s">
        <v>18</v>
      </c>
    </row>
    <row r="3">
      <c r="A3" s="1" t="s">
        <v>26</v>
      </c>
      <c r="B3" s="1">
        <v>4.0</v>
      </c>
      <c r="C3" s="1" t="s">
        <v>300</v>
      </c>
      <c r="D3" s="1" t="s">
        <v>18</v>
      </c>
    </row>
    <row r="4">
      <c r="A4" s="1" t="s">
        <v>8</v>
      </c>
      <c r="B4" s="7">
        <v>46239.0</v>
      </c>
      <c r="C4" s="1" t="s">
        <v>301</v>
      </c>
      <c r="D4" s="1" t="s">
        <v>12</v>
      </c>
    </row>
    <row r="5">
      <c r="A5" s="1" t="s">
        <v>26</v>
      </c>
      <c r="B5" s="1">
        <v>9.0</v>
      </c>
      <c r="C5" s="1" t="s">
        <v>302</v>
      </c>
      <c r="D5" s="1" t="s">
        <v>12</v>
      </c>
    </row>
    <row r="6">
      <c r="A6" s="1" t="s">
        <v>8</v>
      </c>
      <c r="B6" s="1" t="s">
        <v>303</v>
      </c>
      <c r="C6" s="1" t="s">
        <v>304</v>
      </c>
      <c r="D6" s="1" t="s">
        <v>18</v>
      </c>
    </row>
    <row r="7">
      <c r="A7" s="1" t="s">
        <v>8</v>
      </c>
      <c r="B7" s="1" t="s">
        <v>305</v>
      </c>
      <c r="C7" s="1" t="s">
        <v>306</v>
      </c>
      <c r="D7" s="1" t="s">
        <v>18</v>
      </c>
    </row>
    <row r="8">
      <c r="A8" s="1" t="s">
        <v>8</v>
      </c>
      <c r="B8" s="1" t="s">
        <v>307</v>
      </c>
      <c r="C8" s="1" t="s">
        <v>308</v>
      </c>
      <c r="D8" s="1" t="s">
        <v>12</v>
      </c>
    </row>
    <row r="9">
      <c r="A9" s="1" t="s">
        <v>8</v>
      </c>
      <c r="B9" s="1" t="s">
        <v>309</v>
      </c>
      <c r="C9" s="1" t="s">
        <v>310</v>
      </c>
      <c r="D9" s="1" t="s">
        <v>18</v>
      </c>
    </row>
    <row r="10">
      <c r="A10" s="1" t="s">
        <v>8</v>
      </c>
      <c r="B10" s="1" t="s">
        <v>311</v>
      </c>
      <c r="C10" s="1" t="s">
        <v>312</v>
      </c>
      <c r="D10" s="1" t="s">
        <v>18</v>
      </c>
    </row>
    <row r="11">
      <c r="A11" s="1" t="s">
        <v>8</v>
      </c>
      <c r="B11" s="1" t="s">
        <v>313</v>
      </c>
      <c r="C11" s="1" t="s">
        <v>314</v>
      </c>
      <c r="D11" s="1" t="s">
        <v>18</v>
      </c>
    </row>
    <row r="12">
      <c r="A12" s="1" t="s">
        <v>8</v>
      </c>
      <c r="B12" s="1" t="s">
        <v>315</v>
      </c>
      <c r="C12" s="1" t="s">
        <v>316</v>
      </c>
      <c r="D12" s="1" t="s">
        <v>18</v>
      </c>
    </row>
    <row r="13">
      <c r="A13" s="1" t="s">
        <v>8</v>
      </c>
      <c r="B13" s="1" t="s">
        <v>317</v>
      </c>
      <c r="C13" s="1" t="s">
        <v>318</v>
      </c>
      <c r="D13" s="1" t="s">
        <v>18</v>
      </c>
    </row>
    <row r="14">
      <c r="A14" s="1" t="s">
        <v>26</v>
      </c>
      <c r="B14" s="1">
        <v>1000.0</v>
      </c>
      <c r="C14" s="1" t="s">
        <v>319</v>
      </c>
      <c r="D14" s="1" t="s">
        <v>18</v>
      </c>
    </row>
    <row r="15">
      <c r="A15" s="1" t="s">
        <v>21</v>
      </c>
      <c r="B15" s="1" t="s">
        <v>320</v>
      </c>
      <c r="C15" s="1" t="s">
        <v>23</v>
      </c>
      <c r="D15" s="1" t="s">
        <v>12</v>
      </c>
    </row>
    <row r="16">
      <c r="A16" s="1" t="s">
        <v>21</v>
      </c>
      <c r="B16" s="1" t="s">
        <v>321</v>
      </c>
      <c r="C16" s="1" t="s">
        <v>23</v>
      </c>
      <c r="D16" s="1" t="s">
        <v>12</v>
      </c>
    </row>
    <row r="17">
      <c r="A17" s="1" t="s">
        <v>21</v>
      </c>
      <c r="B17" s="1" t="s">
        <v>47</v>
      </c>
      <c r="C17" s="1" t="s">
        <v>23</v>
      </c>
      <c r="D17" s="1" t="s">
        <v>12</v>
      </c>
    </row>
    <row r="18">
      <c r="D18" s="2">
        <f>COUNTIF(D2:D17,"Yes")/COUNTA(D2:D17)</f>
        <v>0.625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322</v>
      </c>
      <c r="C1" s="1" t="s">
        <v>323</v>
      </c>
      <c r="D1" s="1" t="s">
        <v>6</v>
      </c>
      <c r="E1" s="1" t="s">
        <v>262</v>
      </c>
    </row>
    <row r="2">
      <c r="A2" s="1" t="s">
        <v>8</v>
      </c>
      <c r="B2" s="1" t="s">
        <v>324</v>
      </c>
      <c r="C2" s="1" t="s">
        <v>154</v>
      </c>
      <c r="D2" s="1" t="s">
        <v>325</v>
      </c>
      <c r="E2" s="1" t="s">
        <v>12</v>
      </c>
    </row>
    <row r="3">
      <c r="A3" s="1" t="s">
        <v>8</v>
      </c>
      <c r="B3" s="1" t="s">
        <v>326</v>
      </c>
      <c r="C3" s="1" t="s">
        <v>154</v>
      </c>
      <c r="D3" s="1" t="s">
        <v>327</v>
      </c>
      <c r="E3" s="1" t="s">
        <v>12</v>
      </c>
    </row>
    <row r="4">
      <c r="A4" s="1" t="s">
        <v>8</v>
      </c>
      <c r="B4" s="1" t="s">
        <v>328</v>
      </c>
      <c r="C4" s="1" t="s">
        <v>154</v>
      </c>
      <c r="D4" s="1" t="s">
        <v>329</v>
      </c>
      <c r="E4" s="1" t="s">
        <v>12</v>
      </c>
    </row>
    <row r="5">
      <c r="A5" s="1" t="s">
        <v>8</v>
      </c>
      <c r="B5" s="1" t="s">
        <v>330</v>
      </c>
      <c r="C5" s="1" t="s">
        <v>154</v>
      </c>
      <c r="D5" s="1" t="s">
        <v>331</v>
      </c>
      <c r="E5" s="1" t="s">
        <v>12</v>
      </c>
    </row>
    <row r="6">
      <c r="A6" s="1" t="s">
        <v>8</v>
      </c>
      <c r="B6" s="1" t="s">
        <v>332</v>
      </c>
      <c r="C6" s="1" t="s">
        <v>154</v>
      </c>
      <c r="D6" s="1" t="s">
        <v>333</v>
      </c>
      <c r="E6" s="1" t="s">
        <v>12</v>
      </c>
    </row>
    <row r="7">
      <c r="A7" s="1" t="s">
        <v>8</v>
      </c>
      <c r="B7" s="6" t="s">
        <v>334</v>
      </c>
      <c r="C7" s="1" t="s">
        <v>154</v>
      </c>
      <c r="D7" s="1" t="s">
        <v>335</v>
      </c>
      <c r="E7" s="1" t="s">
        <v>12</v>
      </c>
    </row>
    <row r="8">
      <c r="A8" s="1" t="s">
        <v>8</v>
      </c>
      <c r="B8" s="1" t="s">
        <v>336</v>
      </c>
      <c r="C8" s="1" t="s">
        <v>154</v>
      </c>
      <c r="D8" s="1" t="s">
        <v>337</v>
      </c>
      <c r="E8" s="1" t="s">
        <v>18</v>
      </c>
    </row>
    <row r="9">
      <c r="A9" s="1" t="s">
        <v>8</v>
      </c>
      <c r="B9" s="1" t="s">
        <v>338</v>
      </c>
      <c r="C9" s="1" t="s">
        <v>154</v>
      </c>
      <c r="D9" s="1" t="s">
        <v>339</v>
      </c>
      <c r="E9" s="1" t="s">
        <v>12</v>
      </c>
    </row>
    <row r="10">
      <c r="A10" s="1" t="s">
        <v>8</v>
      </c>
      <c r="B10" s="1" t="s">
        <v>340</v>
      </c>
      <c r="C10" s="1" t="s">
        <v>154</v>
      </c>
      <c r="D10" s="1" t="s">
        <v>341</v>
      </c>
      <c r="E10" s="1" t="s">
        <v>18</v>
      </c>
    </row>
    <row r="11">
      <c r="A11" s="1" t="s">
        <v>8</v>
      </c>
      <c r="B11" s="1" t="s">
        <v>342</v>
      </c>
      <c r="C11" s="1" t="s">
        <v>154</v>
      </c>
      <c r="D11" s="1" t="s">
        <v>343</v>
      </c>
      <c r="E11" s="1" t="s">
        <v>12</v>
      </c>
    </row>
    <row r="12">
      <c r="A12" s="1" t="s">
        <v>8</v>
      </c>
      <c r="B12" s="1" t="s">
        <v>344</v>
      </c>
      <c r="C12" s="1" t="s">
        <v>154</v>
      </c>
      <c r="D12" s="1" t="s">
        <v>345</v>
      </c>
      <c r="E12" s="1" t="s">
        <v>12</v>
      </c>
    </row>
    <row r="13">
      <c r="A13" s="1" t="s">
        <v>26</v>
      </c>
      <c r="B13" s="1" t="s">
        <v>263</v>
      </c>
      <c r="C13" s="1">
        <v>2.0</v>
      </c>
      <c r="D13" s="1" t="s">
        <v>345</v>
      </c>
      <c r="E13" s="1" t="s">
        <v>12</v>
      </c>
    </row>
    <row r="14">
      <c r="A14" s="1" t="s">
        <v>21</v>
      </c>
      <c r="B14" s="1" t="s">
        <v>9</v>
      </c>
      <c r="C14" s="1">
        <v>1.0</v>
      </c>
      <c r="D14" s="1" t="s">
        <v>23</v>
      </c>
      <c r="E14" s="1" t="s">
        <v>12</v>
      </c>
    </row>
    <row r="15">
      <c r="A15" s="1" t="s">
        <v>21</v>
      </c>
      <c r="B15" s="1" t="s">
        <v>263</v>
      </c>
      <c r="C15" s="1">
        <v>0.0</v>
      </c>
      <c r="D15" s="1" t="s">
        <v>23</v>
      </c>
      <c r="E15" s="1" t="s">
        <v>12</v>
      </c>
    </row>
    <row r="16">
      <c r="A16" s="1" t="s">
        <v>21</v>
      </c>
      <c r="B16" s="1" t="s">
        <v>263</v>
      </c>
      <c r="C16" s="1" t="s">
        <v>346</v>
      </c>
      <c r="D16" s="1" t="s">
        <v>23</v>
      </c>
      <c r="E16" s="1" t="s">
        <v>12</v>
      </c>
    </row>
    <row r="17">
      <c r="A17" s="1" t="s">
        <v>21</v>
      </c>
      <c r="B17" s="1" t="s">
        <v>263</v>
      </c>
      <c r="C17" s="1" t="s">
        <v>24</v>
      </c>
      <c r="D17" s="1" t="s">
        <v>23</v>
      </c>
      <c r="E17" s="1" t="s">
        <v>12</v>
      </c>
    </row>
    <row r="18">
      <c r="E18" s="2">
        <f>COUNTIF(E2:E17,"Yes")/COUNTA(E2:E17)</f>
        <v>0.125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112</v>
      </c>
      <c r="C1" s="1" t="s">
        <v>347</v>
      </c>
      <c r="D1" s="1" t="s">
        <v>6</v>
      </c>
      <c r="E1" s="1" t="s">
        <v>262</v>
      </c>
    </row>
    <row r="2">
      <c r="A2" s="1" t="s">
        <v>26</v>
      </c>
      <c r="B2" s="1" t="s">
        <v>121</v>
      </c>
      <c r="C2" s="1" t="s">
        <v>9</v>
      </c>
      <c r="D2" s="1" t="s">
        <v>348</v>
      </c>
      <c r="E2" s="1" t="s">
        <v>18</v>
      </c>
    </row>
    <row r="3">
      <c r="A3" s="1" t="s">
        <v>8</v>
      </c>
      <c r="B3" s="1" t="s">
        <v>43</v>
      </c>
      <c r="C3" s="1" t="s">
        <v>349</v>
      </c>
      <c r="D3" s="1" t="s">
        <v>350</v>
      </c>
      <c r="E3" s="1" t="s">
        <v>18</v>
      </c>
    </row>
    <row r="4">
      <c r="A4" s="1" t="s">
        <v>8</v>
      </c>
      <c r="B4" s="1" t="s">
        <v>43</v>
      </c>
      <c r="C4" s="1" t="s">
        <v>351</v>
      </c>
      <c r="D4" s="1" t="s">
        <v>350</v>
      </c>
      <c r="E4" s="1" t="s">
        <v>18</v>
      </c>
    </row>
    <row r="5">
      <c r="A5" s="1" t="s">
        <v>8</v>
      </c>
      <c r="B5" s="1" t="s">
        <v>43</v>
      </c>
      <c r="C5" s="1" t="s">
        <v>352</v>
      </c>
      <c r="D5" s="1" t="s">
        <v>350</v>
      </c>
      <c r="E5" s="1" t="s">
        <v>12</v>
      </c>
    </row>
    <row r="6">
      <c r="A6" s="1" t="s">
        <v>8</v>
      </c>
      <c r="B6" s="1" t="s">
        <v>43</v>
      </c>
      <c r="C6" s="1" t="s">
        <v>353</v>
      </c>
      <c r="D6" s="1" t="s">
        <v>350</v>
      </c>
      <c r="E6" s="1" t="s">
        <v>12</v>
      </c>
    </row>
    <row r="7">
      <c r="A7" s="1" t="s">
        <v>8</v>
      </c>
      <c r="B7" s="1" t="s">
        <v>354</v>
      </c>
      <c r="C7" s="1" t="s">
        <v>355</v>
      </c>
      <c r="D7" s="1" t="s">
        <v>350</v>
      </c>
      <c r="E7" s="1" t="s">
        <v>12</v>
      </c>
    </row>
    <row r="8">
      <c r="A8" s="1" t="s">
        <v>8</v>
      </c>
      <c r="B8" s="1" t="s">
        <v>43</v>
      </c>
      <c r="C8" s="1" t="s">
        <v>356</v>
      </c>
      <c r="D8" s="1" t="s">
        <v>357</v>
      </c>
      <c r="E8" s="1" t="s">
        <v>12</v>
      </c>
    </row>
    <row r="9">
      <c r="A9" s="1" t="s">
        <v>21</v>
      </c>
      <c r="B9" s="1" t="s">
        <v>38</v>
      </c>
      <c r="C9" s="1" t="s">
        <v>9</v>
      </c>
      <c r="D9" s="1" t="s">
        <v>23</v>
      </c>
      <c r="E9" s="1" t="s">
        <v>12</v>
      </c>
    </row>
    <row r="10">
      <c r="E10" s="2">
        <f>COUNTIF(E2:E9, "Yes")/COUNTA(E2:E9)</f>
        <v>0.375</v>
      </c>
    </row>
  </sheetData>
  <drawing r:id="rId1"/>
</worksheet>
</file>