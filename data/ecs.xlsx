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8"/>
  <workbookPr/>
  <mc:AlternateContent xmlns:mc="http://schemas.openxmlformats.org/markup-compatibility/2006">
    <mc:Choice Requires="x15">
      <x15ac:absPath xmlns:x15ac="http://schemas.microsoft.com/office/spreadsheetml/2010/11/ac" url="/Users/UST914/Desktop/blg-475-project/data/"/>
    </mc:Choice>
  </mc:AlternateContent>
  <xr:revisionPtr revIDLastSave="0" documentId="13_ncr:1_{BFAA1E87-8DEF-E84F-9B42-75115B9172B0}" xr6:coauthVersionLast="47" xr6:coauthVersionMax="47" xr10:uidLastSave="{00000000-0000-0000-0000-000000000000}"/>
  <bookViews>
    <workbookView xWindow="0" yWindow="600" windowWidth="33600" windowHeight="21000" activeTab="12" xr2:uid="{00000000-000D-0000-FFFF-FFFF00000000}"/>
  </bookViews>
  <sheets>
    <sheet name="Java0" sheetId="1" r:id="rId1"/>
    <sheet name="Java1" sheetId="2" r:id="rId2"/>
    <sheet name="Java5" sheetId="3" r:id="rId3"/>
    <sheet name="Java8" sheetId="4" r:id="rId4"/>
    <sheet name="Java13" sheetId="5" r:id="rId5"/>
    <sheet name="Java16" sheetId="6" r:id="rId6"/>
    <sheet name="Java18" sheetId="7" r:id="rId7"/>
    <sheet name="Java20" sheetId="8" r:id="rId8"/>
    <sheet name="Java25" sheetId="9" r:id="rId9"/>
    <sheet name="Java29" sheetId="10" r:id="rId10"/>
    <sheet name="Java32" sheetId="11" r:id="rId11"/>
    <sheet name="Java40" sheetId="12" r:id="rId12"/>
    <sheet name="Sheet1" sheetId="31" r:id="rId13"/>
    <sheet name="Java44" sheetId="13" r:id="rId14"/>
    <sheet name="Java46" sheetId="14" r:id="rId15"/>
    <sheet name="Java48" sheetId="15" r:id="rId16"/>
    <sheet name="Java55" sheetId="16" r:id="rId17"/>
    <sheet name="Java57" sheetId="17" r:id="rId18"/>
    <sheet name="Java58" sheetId="18" r:id="rId19"/>
    <sheet name="Java65" sheetId="19" r:id="rId20"/>
    <sheet name="Java69" sheetId="20" r:id="rId21"/>
    <sheet name="Java76" sheetId="21" r:id="rId22"/>
    <sheet name="Java109" sheetId="22" r:id="rId23"/>
    <sheet name="Java110" sheetId="23" r:id="rId24"/>
    <sheet name="Java124" sheetId="24" r:id="rId25"/>
    <sheet name="Java129" sheetId="25" r:id="rId26"/>
    <sheet name="Java140" sheetId="26" r:id="rId27"/>
    <sheet name="Java141" sheetId="27" r:id="rId28"/>
    <sheet name="Java156" sheetId="28" r:id="rId29"/>
    <sheet name="Java160" sheetId="29" r:id="rId30"/>
    <sheet name="Java162" sheetId="30" r:id="rId3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0" i="30" l="1"/>
  <c r="E18" i="29"/>
  <c r="D18" i="28"/>
  <c r="G13" i="27"/>
  <c r="E9" i="26"/>
  <c r="G12" i="25"/>
  <c r="F21" i="24"/>
  <c r="E10" i="23"/>
  <c r="F9" i="22"/>
  <c r="F11" i="21"/>
  <c r="F12" i="20"/>
  <c r="G8" i="19"/>
  <c r="G11" i="18"/>
  <c r="F15" i="17"/>
  <c r="D11" i="16"/>
  <c r="F21" i="15"/>
  <c r="D11" i="14"/>
  <c r="E9" i="13"/>
  <c r="G10" i="12"/>
  <c r="H12" i="11"/>
  <c r="G11" i="10"/>
  <c r="E8" i="9"/>
  <c r="F7" i="8"/>
  <c r="G14" i="7"/>
  <c r="E7" i="6"/>
  <c r="F17" i="5"/>
  <c r="G9" i="4"/>
  <c r="F8" i="3"/>
  <c r="F13" i="2"/>
  <c r="H11" i="1"/>
</calcChain>
</file>

<file path=xl/sharedStrings.xml><?xml version="1.0" encoding="utf-8"?>
<sst xmlns="http://schemas.openxmlformats.org/spreadsheetml/2006/main" count="1808" uniqueCount="443">
  <si>
    <t>Type</t>
  </si>
  <si>
    <t>List size</t>
  </si>
  <si>
    <t>List elements</t>
  </si>
  <si>
    <t>Close pairs</t>
  </si>
  <si>
    <t>Duplicates</t>
  </si>
  <si>
    <t>Threshold</t>
  </si>
  <si>
    <t>Expected output</t>
  </si>
  <si>
    <t>Covered by base tests?</t>
  </si>
  <si>
    <t>Valid</t>
  </si>
  <si>
    <t>N/A</t>
  </si>
  <si>
    <t>0 by definition</t>
  </si>
  <si>
    <t>*</t>
  </si>
  <si>
    <t>No</t>
  </si>
  <si>
    <t>Double</t>
  </si>
  <si>
    <t>&gt;1</t>
  </si>
  <si>
    <t>All double</t>
  </si>
  <si>
    <t>Least dist &gt; th.</t>
  </si>
  <si>
    <t>Non-zero</t>
  </si>
  <si>
    <t>Yes</t>
  </si>
  <si>
    <t>&gt;0</t>
  </si>
  <si>
    <t>No of close pairs</t>
  </si>
  <si>
    <t>Invalid</t>
  </si>
  <si>
    <t>Non-double</t>
  </si>
  <si>
    <t>Error</t>
  </si>
  <si>
    <t>Negative</t>
  </si>
  <si>
    <t>Err./#pairs (all pairs close)</t>
  </si>
  <si>
    <t>Boundary</t>
  </si>
  <si>
    <t>Least dist = th.</t>
  </si>
  <si>
    <t>String</t>
  </si>
  <si>
    <t>No of groups</t>
  </si>
  <si>
    <t>Group type</t>
  </si>
  <si>
    <t>Empty</t>
  </si>
  <si>
    <t>Non-empty</t>
  </si>
  <si>
    <t>Not nested</t>
  </si>
  <si>
    <t>Nested</t>
  </si>
  <si>
    <t>Complex nested</t>
  </si>
  <si>
    <t>&gt;1, separated</t>
  </si>
  <si>
    <t>&gt;1, adjacent</t>
  </si>
  <si>
    <t>Non-string</t>
  </si>
  <si>
    <t>Ill-formed string</t>
  </si>
  <si>
    <t>2, separated</t>
  </si>
  <si>
    <t>2, adjacent</t>
  </si>
  <si>
    <t>Delimiter</t>
  </si>
  <si>
    <t>Typical</t>
  </si>
  <si>
    <t>All int</t>
  </si>
  <si>
    <t>int</t>
  </si>
  <si>
    <t>No error</t>
  </si>
  <si>
    <t>Non-int</t>
  </si>
  <si>
    <t>Empty list</t>
  </si>
  <si>
    <t>Same as input</t>
  </si>
  <si>
    <t>Types</t>
  </si>
  <si>
    <t>Signs</t>
  </si>
  <si>
    <t>Magnitudes</t>
  </si>
  <si>
    <t>All positive</t>
  </si>
  <si>
    <t>All typical</t>
  </si>
  <si>
    <t>Some very small</t>
  </si>
  <si>
    <t>Some very large</t>
  </si>
  <si>
    <t>Some negative</t>
  </si>
  <si>
    <t>Some non-int</t>
  </si>
  <si>
    <t>(0, 1)</t>
  </si>
  <si>
    <t>Positive</t>
  </si>
  <si>
    <t>(a, a) where a is the list element</t>
  </si>
  <si>
    <t>a</t>
  </si>
  <si>
    <t>b</t>
  </si>
  <si>
    <t>a-b relationship</t>
  </si>
  <si>
    <t>Positive int</t>
  </si>
  <si>
    <t>Coprime</t>
  </si>
  <si>
    <t>a divides b</t>
  </si>
  <si>
    <t>b divides a</t>
  </si>
  <si>
    <t>gcd&gt;1, unequal</t>
  </si>
  <si>
    <t>gcd(a, b)</t>
  </si>
  <si>
    <t>Negative int</t>
  </si>
  <si>
    <t>gcd(a, abs(b))</t>
  </si>
  <si>
    <t>gcd(abs(a), b)</t>
  </si>
  <si>
    <t>gcd(abs(a), abs(b))</t>
  </si>
  <si>
    <t>Equal</t>
  </si>
  <si>
    <t>a (or b)</t>
  </si>
  <si>
    <t>abs(b)</t>
  </si>
  <si>
    <t>abs(a)</t>
  </si>
  <si>
    <t>Small pos. int</t>
  </si>
  <si>
    <t>Large pos. int</t>
  </si>
  <si>
    <t>Characters</t>
  </si>
  <si>
    <t>Covered by base cases?</t>
  </si>
  <si>
    <t>Empty (0-length)</t>
  </si>
  <si>
    <t>Typical length</t>
  </si>
  <si>
    <t>Uniform case</t>
  </si>
  <si>
    <t>Mixed case</t>
  </si>
  <si>
    <t>Invalid encoding</t>
  </si>
  <si>
    <t xml:space="preserve">None </t>
  </si>
  <si>
    <t>Substring</t>
  </si>
  <si>
    <t>Substring length</t>
  </si>
  <si>
    <t>Occurrences</t>
  </si>
  <si>
    <t>Unclear</t>
  </si>
  <si>
    <t>Could be 0</t>
  </si>
  <si>
    <t>&gt; string length</t>
  </si>
  <si>
    <t>&lt;= string length</t>
  </si>
  <si>
    <t>&gt;1, no overlap</t>
  </si>
  <si>
    <t>No of occurrences</t>
  </si>
  <si>
    <t>&gt;1, overlapping</t>
  </si>
  <si>
    <t>string length</t>
  </si>
  <si>
    <t>1 (exact match)</t>
  </si>
  <si>
    <t>Closest pairs</t>
  </si>
  <si>
    <t>Only one</t>
  </si>
  <si>
    <t>Closest pair</t>
  </si>
  <si>
    <t>One by defn</t>
  </si>
  <si>
    <t>The duplicates</t>
  </si>
  <si>
    <t>Multiple (tied)</t>
  </si>
  <si>
    <t>First closest pair</t>
  </si>
  <si>
    <t>&lt;2</t>
  </si>
  <si>
    <t>None by defn</t>
  </si>
  <si>
    <t>The two elements</t>
  </si>
  <si>
    <t>Input type</t>
  </si>
  <si>
    <t>Input</t>
  </si>
  <si>
    <t>Small non-prime</t>
  </si>
  <si>
    <t>Large non-prime</t>
  </si>
  <si>
    <t>Prime (not 2)</t>
  </si>
  <si>
    <t>[the prime itself]</t>
  </si>
  <si>
    <t>[2]</t>
  </si>
  <si>
    <t>Prefix</t>
  </si>
  <si>
    <t>Matches</t>
  </si>
  <si>
    <t>Cases</t>
  </si>
  <si>
    <t>Empty string</t>
  </si>
  <si>
    <t>All by defn</t>
  </si>
  <si>
    <t>The entire list</t>
  </si>
  <si>
    <t>None</t>
  </si>
  <si>
    <t>Uniform</t>
  </si>
  <si>
    <t>At least one</t>
  </si>
  <si>
    <t>The matches</t>
  </si>
  <si>
    <t>Longer than all strings</t>
  </si>
  <si>
    <t>Mixed</t>
  </si>
  <si>
    <t>Only case-sensitive matches</t>
  </si>
  <si>
    <t>Non-string elements</t>
  </si>
  <si>
    <t>Strings</t>
  </si>
  <si>
    <t>Some string in list</t>
  </si>
  <si>
    <t>At least one by defn</t>
  </si>
  <si>
    <t>The string included</t>
  </si>
  <si>
    <t>Degree</t>
  </si>
  <si>
    <t>No of real roots</t>
  </si>
  <si>
    <t>Repeated roots?</t>
  </si>
  <si>
    <t>Coefficients</t>
  </si>
  <si>
    <t>Flat region?</t>
  </si>
  <si>
    <t>1 by defn</t>
  </si>
  <si>
    <t>No by defn</t>
  </si>
  <si>
    <t>The root</t>
  </si>
  <si>
    <t>&gt;1, odd</t>
  </si>
  <si>
    <t>One of the roots</t>
  </si>
  <si>
    <t>Small</t>
  </si>
  <si>
    <t>Large</t>
  </si>
  <si>
    <t>&gt;1, even</t>
  </si>
  <si>
    <t>Infinite by defn</t>
  </si>
  <si>
    <t>All 0</t>
  </si>
  <si>
    <t>&gt;1, all far from 0</t>
  </si>
  <si>
    <t>0-sum triples</t>
  </si>
  <si>
    <t>Elements</t>
  </si>
  <si>
    <t>At least 3</t>
  </si>
  <si>
    <t>All negative</t>
  </si>
  <si>
    <t>&lt;3</t>
  </si>
  <si>
    <t>Yes by defn</t>
  </si>
  <si>
    <t>x</t>
  </si>
  <si>
    <t>Base</t>
  </si>
  <si>
    <t>x in new base</t>
  </si>
  <si>
    <t>x in base 2</t>
  </si>
  <si>
    <t>x itself</t>
  </si>
  <si>
    <t>Valid?</t>
  </si>
  <si>
    <t>&lt;0</t>
  </si>
  <si>
    <t>&lt;=1</t>
  </si>
  <si>
    <t>&gt;10</t>
  </si>
  <si>
    <t>n</t>
  </si>
  <si>
    <t>fib4(n)</t>
  </si>
  <si>
    <t>Negative n</t>
  </si>
  <si>
    <t>Non-int n</t>
  </si>
  <si>
    <t>Palindrome?</t>
  </si>
  <si>
    <t>Empty (0 length)</t>
  </si>
  <si>
    <t>By definition</t>
  </si>
  <si>
    <t>Same case, no whitespace</t>
  </si>
  <si>
    <t>Whitespaces</t>
  </si>
  <si>
    <t>Empty (null)</t>
  </si>
  <si>
    <t>Length 1</t>
  </si>
  <si>
    <t>Valid encoding</t>
  </si>
  <si>
    <t>Length 2</t>
  </si>
  <si>
    <t>Typical (small)</t>
  </si>
  <si>
    <t>nth Fibonacci number</t>
  </si>
  <si>
    <t>Large (&gt;50)</t>
  </si>
  <si>
    <t>Negative integer</t>
  </si>
  <si>
    <t>Non-integer type</t>
  </si>
  <si>
    <t>Monotonicity</t>
  </si>
  <si>
    <t>Constant segment?</t>
  </si>
  <si>
    <t>Both by defn</t>
  </si>
  <si>
    <t>Increasing</t>
  </si>
  <si>
    <t>Decreasing</t>
  </si>
  <si>
    <t>Neither</t>
  </si>
  <si>
    <t>Typical with non-numeric elements</t>
  </si>
  <si>
    <t>All constant</t>
  </si>
  <si>
    <t>List 1</t>
  </si>
  <si>
    <t>List 2</t>
  </si>
  <si>
    <t>Commons</t>
  </si>
  <si>
    <t>Sorted</t>
  </si>
  <si>
    <t>Commons as is</t>
  </si>
  <si>
    <t>Unsorted</t>
  </si>
  <si>
    <t>Commons sorted</t>
  </si>
  <si>
    <t>Non-integers</t>
  </si>
  <si>
    <t>The common</t>
  </si>
  <si>
    <t>x type</t>
  </si>
  <si>
    <t>shift type</t>
  </si>
  <si>
    <t>x no of digits</t>
  </si>
  <si>
    <t>shift</t>
  </si>
  <si>
    <t>&lt;x no of digits</t>
  </si>
  <si>
    <t>&gt;x no of digits</t>
  </si>
  <si>
    <t>x itself (no err.)</t>
  </si>
  <si>
    <t>non-int</t>
  </si>
  <si>
    <t xml:space="preserve">int </t>
  </si>
  <si>
    <t>Integers</t>
  </si>
  <si>
    <t>Condition true?</t>
  </si>
  <si>
    <t>The integer</t>
  </si>
  <si>
    <t>All nonpositive</t>
  </si>
  <si>
    <t>Some positive</t>
  </si>
  <si>
    <t>Only for one</t>
  </si>
  <si>
    <t>The one</t>
  </si>
  <si>
    <t>For mutliple</t>
  </si>
  <si>
    <t>The largest one</t>
  </si>
  <si>
    <t>1, rest *</t>
  </si>
  <si>
    <t>Equal to its freq</t>
  </si>
  <si>
    <t>x simple power?</t>
  </si>
  <si>
    <t>Any int</t>
  </si>
  <si>
    <t>Not 1, positive</t>
  </si>
  <si>
    <t>Not 1, negative</t>
  </si>
  <si>
    <t>Sorted?</t>
  </si>
  <si>
    <t>Sortable by shift?</t>
  </si>
  <si>
    <t>By 0 shifts</t>
  </si>
  <si>
    <t>Already</t>
  </si>
  <si>
    <t>By 1 shift</t>
  </si>
  <si>
    <t>By &gt;1 shift</t>
  </si>
  <si>
    <t>No (two decreases)</t>
  </si>
  <si>
    <t>&gt;0, non-ints</t>
  </si>
  <si>
    <t>All even already</t>
  </si>
  <si>
    <t>x odds</t>
  </si>
  <si>
    <t>&lt;x elements</t>
  </si>
  <si>
    <t>All odds</t>
  </si>
  <si>
    <t>&lt;x evens</t>
  </si>
  <si>
    <t>x evens</t>
  </si>
  <si>
    <t>&gt;x evens</t>
  </si>
  <si>
    <t>Non-ints</t>
  </si>
  <si>
    <t>Month</t>
  </si>
  <si>
    <t>Day</t>
  </si>
  <si>
    <t>Not in XX-XX-XXXX format</t>
  </si>
  <si>
    <t>31-day</t>
  </si>
  <si>
    <t>01-31</t>
  </si>
  <si>
    <t>32-99</t>
  </si>
  <si>
    <t>30-day</t>
  </si>
  <si>
    <t>01-30</t>
  </si>
  <si>
    <t>30-99</t>
  </si>
  <si>
    <t>February</t>
  </si>
  <si>
    <t>01-29</t>
  </si>
  <si>
    <t>00</t>
  </si>
  <si>
    <t>13-99</t>
  </si>
  <si>
    <t>01</t>
  </si>
  <si>
    <t>04</t>
  </si>
  <si>
    <t>02</t>
  </si>
  <si>
    <t>Grid</t>
  </si>
  <si>
    <t>k</t>
  </si>
  <si>
    <t>Pos of min value</t>
  </si>
  <si>
    <t>Condition</t>
  </si>
  <si>
    <t>Covered?</t>
  </si>
  <si>
    <t>Any</t>
  </si>
  <si>
    <t>No movement</t>
  </si>
  <si>
    <t>Min value</t>
  </si>
  <si>
    <t>Only one move</t>
  </si>
  <si>
    <t>Min value, min neighbor</t>
  </si>
  <si>
    <t>Corner</t>
  </si>
  <si>
    <t>Can revisit</t>
  </si>
  <si>
    <t>Bounce in corner</t>
  </si>
  <si>
    <t>Cycle</t>
  </si>
  <si>
    <t>More than N^2</t>
  </si>
  <si>
    <t>Revisit needed</t>
  </si>
  <si>
    <t>Not N by N</t>
  </si>
  <si>
    <t>N less than 2</t>
  </si>
  <si>
    <t>Nonpositive</t>
  </si>
  <si>
    <t>Repeated ints</t>
  </si>
  <si>
    <t>Non-int grid entries</t>
  </si>
  <si>
    <t>Spaces</t>
  </si>
  <si>
    <t>Position</t>
  </si>
  <si>
    <t>No change</t>
  </si>
  <si>
    <t>Replace w _</t>
  </si>
  <si>
    <t>All 1 or 2 runs</t>
  </si>
  <si>
    <t>All 3+ runs</t>
  </si>
  <si>
    <t>Replace w -</t>
  </si>
  <si>
    <t>Mixed runs</t>
  </si>
  <si>
    <t>Replace correctly</t>
  </si>
  <si>
    <t>Non-string input</t>
  </si>
  <si>
    <t>Digits</t>
  </si>
  <si>
    <t>Dots</t>
  </si>
  <si>
    <t>Extension</t>
  </si>
  <si>
    <t>At most 3</t>
  </si>
  <si>
    <t>More than 3</t>
  </si>
  <si>
    <t>More than 1</t>
  </si>
  <si>
    <t>Non-letter start</t>
  </si>
  <si>
    <t>Case sens. inv.</t>
  </si>
  <si>
    <t>One letter</t>
  </si>
  <si>
    <t>number</t>
  </si>
  <si>
    <t>i-iii</t>
  </si>
  <si>
    <t>iv</t>
  </si>
  <si>
    <t>v-viii</t>
  </si>
  <si>
    <t>ix</t>
  </si>
  <si>
    <t>10-39</t>
  </si>
  <si>
    <t>x-xxxix</t>
  </si>
  <si>
    <t>40-49</t>
  </si>
  <si>
    <t>xl-xlix</t>
  </si>
  <si>
    <t>50-89</t>
  </si>
  <si>
    <t>l-lxxxix</t>
  </si>
  <si>
    <t>90-99</t>
  </si>
  <si>
    <t>xc-xcix</t>
  </si>
  <si>
    <t>100-399</t>
  </si>
  <si>
    <t>c-cccxcix</t>
  </si>
  <si>
    <t>400-499</t>
  </si>
  <si>
    <t>cd-cdxcix</t>
  </si>
  <si>
    <t>500-899</t>
  </si>
  <si>
    <t>d-dcccxcix</t>
  </si>
  <si>
    <t>900-999</t>
  </si>
  <si>
    <t>cm-cmxcix</t>
  </si>
  <si>
    <t>m</t>
  </si>
  <si>
    <t>&gt;1000</t>
  </si>
  <si>
    <t>&lt;1</t>
  </si>
  <si>
    <t>Operators</t>
  </si>
  <si>
    <t>No of operands</t>
  </si>
  <si>
    <t>Only +</t>
  </si>
  <si>
    <t>Left to right add</t>
  </si>
  <si>
    <t>Only -</t>
  </si>
  <si>
    <t>Left to right sub</t>
  </si>
  <si>
    <t>Only *</t>
  </si>
  <si>
    <t>Left to right prod</t>
  </si>
  <si>
    <t>Only /</t>
  </si>
  <si>
    <t>Left to right div</t>
  </si>
  <si>
    <t>Only **</t>
  </si>
  <si>
    <t>Left to right exp</t>
  </si>
  <si>
    <t>Plus and minus</t>
  </si>
  <si>
    <t xml:space="preserve">Plus, min same </t>
  </si>
  <si>
    <t>*, plus, minus</t>
  </si>
  <si>
    <t>* higher</t>
  </si>
  <si>
    <t>/, plus, minus</t>
  </si>
  <si>
    <t>/ higher</t>
  </si>
  <si>
    <t>*, /</t>
  </si>
  <si>
    <t>*, / same</t>
  </si>
  <si>
    <t>**, *, /</t>
  </si>
  <si>
    <t>** higher</t>
  </si>
  <si>
    <t>All</t>
  </si>
  <si>
    <t>Correct eval</t>
  </si>
  <si>
    <t>Mismatched</t>
  </si>
  <si>
    <t>Chars</t>
  </si>
  <si>
    <t>Optional.empty()</t>
  </si>
  <si>
    <t>ASCII, no spaces</t>
  </si>
  <si>
    <t>Valid hash</t>
  </si>
  <si>
    <t>Spaces inside</t>
  </si>
  <si>
    <t>Lead/trail space</t>
  </si>
  <si>
    <t>Non-ASCII</t>
  </si>
  <si>
    <t>Long</t>
  </si>
  <si>
    <t>ASCII</t>
  </si>
  <si>
    <t>ASCII, mixed case</t>
  </si>
  <si>
    <t>Hash should change</t>
  </si>
  <si>
    <t>Sheet</t>
  </si>
  <si>
    <t>Mutated</t>
  </si>
  <si>
    <t>Delta</t>
  </si>
  <si>
    <t>Java0</t>
  </si>
  <si>
    <t>Java1</t>
  </si>
  <si>
    <t>Java5</t>
  </si>
  <si>
    <t>Java8</t>
  </si>
  <si>
    <t>Java13</t>
  </si>
  <si>
    <t>Java16</t>
  </si>
  <si>
    <t>Java18</t>
  </si>
  <si>
    <t>Java20</t>
  </si>
  <si>
    <t>Java25</t>
  </si>
  <si>
    <t>Java29</t>
  </si>
  <si>
    <t>Java32</t>
  </si>
  <si>
    <t>Java40</t>
  </si>
  <si>
    <t>Java44</t>
  </si>
  <si>
    <t>Java46</t>
  </si>
  <si>
    <t>Java48</t>
  </si>
  <si>
    <t>Java55</t>
  </si>
  <si>
    <t>Java57</t>
  </si>
  <si>
    <t>Java58</t>
  </si>
  <si>
    <t>Java65</t>
  </si>
  <si>
    <t>Java69</t>
  </si>
  <si>
    <t>Java76</t>
  </si>
  <si>
    <t>Java109</t>
  </si>
  <si>
    <t>Java110</t>
  </si>
  <si>
    <t>Java124</t>
  </si>
  <si>
    <t>Java129</t>
  </si>
  <si>
    <t>Java140</t>
  </si>
  <si>
    <t>Java141</t>
  </si>
  <si>
    <t>Java156</t>
  </si>
  <si>
    <t>Java160</t>
  </si>
  <si>
    <t>Java162</t>
  </si>
  <si>
    <r>
      <t>3/9</t>
    </r>
    <r>
      <rPr>
        <sz val="14"/>
        <color theme="1"/>
        <rFont val="Arial"/>
        <family val="2"/>
        <scheme val="minor"/>
      </rPr>
      <t> (</t>
    </r>
    <r>
      <rPr>
        <sz val="9"/>
        <color theme="1"/>
        <rFont val="Menlo"/>
        <family val="2"/>
      </rPr>
      <t>33.33%</t>
    </r>
    <r>
      <rPr>
        <sz val="14"/>
        <color theme="1"/>
        <rFont val="Arial"/>
        <family val="2"/>
        <scheme val="minor"/>
      </rPr>
      <t>)</t>
    </r>
  </si>
  <si>
    <r>
      <t>7/9</t>
    </r>
    <r>
      <rPr>
        <sz val="14"/>
        <color theme="1"/>
        <rFont val="Arial"/>
        <family val="2"/>
        <scheme val="minor"/>
      </rPr>
      <t> (</t>
    </r>
    <r>
      <rPr>
        <sz val="9"/>
        <color theme="1"/>
        <rFont val="Menlo"/>
        <family val="2"/>
      </rPr>
      <t>77.78%</t>
    </r>
    <r>
      <rPr>
        <sz val="14"/>
        <color theme="1"/>
        <rFont val="Arial"/>
        <family val="2"/>
        <scheme val="minor"/>
      </rPr>
      <t>)</t>
    </r>
  </si>
  <si>
    <r>
      <t>2/11</t>
    </r>
    <r>
      <rPr>
        <sz val="14"/>
        <color theme="1"/>
        <rFont val="Arial"/>
        <family val="2"/>
        <scheme val="minor"/>
      </rPr>
      <t> (</t>
    </r>
    <r>
      <rPr>
        <sz val="9"/>
        <color theme="1"/>
        <rFont val="Menlo"/>
        <family val="2"/>
      </rPr>
      <t>18.18%</t>
    </r>
    <r>
      <rPr>
        <sz val="14"/>
        <color theme="1"/>
        <rFont val="Arial"/>
        <family val="2"/>
        <scheme val="minor"/>
      </rPr>
      <t>)</t>
    </r>
  </si>
  <si>
    <r>
      <t>10/11</t>
    </r>
    <r>
      <rPr>
        <sz val="14"/>
        <color theme="1"/>
        <rFont val="Arial"/>
        <family val="2"/>
        <scheme val="minor"/>
      </rPr>
      <t> (</t>
    </r>
    <r>
      <rPr>
        <sz val="9"/>
        <color theme="1"/>
        <rFont val="Menlo"/>
        <family val="2"/>
      </rPr>
      <t>90.91%</t>
    </r>
    <r>
      <rPr>
        <sz val="14"/>
        <color theme="1"/>
        <rFont val="Arial"/>
        <family val="2"/>
        <scheme val="minor"/>
      </rPr>
      <t>)</t>
    </r>
  </si>
  <si>
    <r>
      <t>2/6</t>
    </r>
    <r>
      <rPr>
        <sz val="14"/>
        <color theme="1"/>
        <rFont val="Arial"/>
        <family val="2"/>
        <scheme val="minor"/>
      </rPr>
      <t> (</t>
    </r>
    <r>
      <rPr>
        <sz val="9"/>
        <color theme="1"/>
        <rFont val="Menlo"/>
        <family val="2"/>
      </rPr>
      <t>33.33%</t>
    </r>
    <r>
      <rPr>
        <sz val="14"/>
        <color theme="1"/>
        <rFont val="Arial"/>
        <family val="2"/>
        <scheme val="minor"/>
      </rPr>
      <t>)</t>
    </r>
  </si>
  <si>
    <r>
      <t>5/6</t>
    </r>
    <r>
      <rPr>
        <sz val="14"/>
        <color theme="1"/>
        <rFont val="Arial"/>
        <family val="2"/>
        <scheme val="minor"/>
      </rPr>
      <t> (</t>
    </r>
    <r>
      <rPr>
        <sz val="9"/>
        <color theme="1"/>
        <rFont val="Menlo"/>
        <family val="2"/>
      </rPr>
      <t>83.33%</t>
    </r>
    <r>
      <rPr>
        <sz val="14"/>
        <color theme="1"/>
        <rFont val="Arial"/>
        <family val="2"/>
        <scheme val="minor"/>
      </rPr>
      <t>)</t>
    </r>
  </si>
  <si>
    <r>
      <t>3/7</t>
    </r>
    <r>
      <rPr>
        <sz val="14"/>
        <color theme="1"/>
        <rFont val="Arial"/>
        <family val="2"/>
        <scheme val="minor"/>
      </rPr>
      <t> (</t>
    </r>
    <r>
      <rPr>
        <sz val="9"/>
        <color theme="1"/>
        <rFont val="Menlo"/>
        <family val="2"/>
      </rPr>
      <t>42.86%</t>
    </r>
    <r>
      <rPr>
        <sz val="14"/>
        <color theme="1"/>
        <rFont val="Arial"/>
        <family val="2"/>
        <scheme val="minor"/>
      </rPr>
      <t>)</t>
    </r>
  </si>
  <si>
    <r>
      <t>6/7</t>
    </r>
    <r>
      <rPr>
        <sz val="14"/>
        <color theme="1"/>
        <rFont val="Arial"/>
        <family val="2"/>
        <scheme val="minor"/>
      </rPr>
      <t> (</t>
    </r>
    <r>
      <rPr>
        <sz val="9"/>
        <color theme="1"/>
        <rFont val="Menlo"/>
        <family val="2"/>
      </rPr>
      <t>85.71%</t>
    </r>
    <r>
      <rPr>
        <sz val="14"/>
        <color theme="1"/>
        <rFont val="Arial"/>
        <family val="2"/>
        <scheme val="minor"/>
      </rPr>
      <t>)</t>
    </r>
  </si>
  <si>
    <r>
      <t>2/15</t>
    </r>
    <r>
      <rPr>
        <sz val="14"/>
        <color theme="1"/>
        <rFont val="Arial"/>
        <family val="2"/>
        <scheme val="minor"/>
      </rPr>
      <t> (</t>
    </r>
    <r>
      <rPr>
        <sz val="9"/>
        <color theme="1"/>
        <rFont val="Menlo"/>
        <family val="2"/>
      </rPr>
      <t>13.33%</t>
    </r>
    <r>
      <rPr>
        <sz val="14"/>
        <color theme="1"/>
        <rFont val="Arial"/>
        <family val="2"/>
        <scheme val="minor"/>
      </rPr>
      <t>)</t>
    </r>
  </si>
  <si>
    <r>
      <t>12/15</t>
    </r>
    <r>
      <rPr>
        <sz val="14"/>
        <color theme="1"/>
        <rFont val="Arial"/>
        <family val="2"/>
        <scheme val="minor"/>
      </rPr>
      <t> (</t>
    </r>
    <r>
      <rPr>
        <sz val="9"/>
        <color theme="1"/>
        <rFont val="Menlo"/>
        <family val="2"/>
      </rPr>
      <t>80.00%</t>
    </r>
    <r>
      <rPr>
        <sz val="14"/>
        <color theme="1"/>
        <rFont val="Arial"/>
        <family val="2"/>
        <scheme val="minor"/>
      </rPr>
      <t>)</t>
    </r>
  </si>
  <si>
    <r>
      <t>3/5</t>
    </r>
    <r>
      <rPr>
        <sz val="14"/>
        <color theme="1"/>
        <rFont val="Arial"/>
        <family val="2"/>
        <scheme val="minor"/>
      </rPr>
      <t> (</t>
    </r>
    <r>
      <rPr>
        <sz val="9"/>
        <color theme="1"/>
        <rFont val="Menlo"/>
        <family val="2"/>
      </rPr>
      <t>60.00%</t>
    </r>
    <r>
      <rPr>
        <sz val="14"/>
        <color theme="1"/>
        <rFont val="Arial"/>
        <family val="2"/>
        <scheme val="minor"/>
      </rPr>
      <t>)</t>
    </r>
  </si>
  <si>
    <r>
      <t>5/5</t>
    </r>
    <r>
      <rPr>
        <sz val="14"/>
        <color theme="1"/>
        <rFont val="Arial"/>
        <family val="2"/>
        <scheme val="minor"/>
      </rPr>
      <t> (</t>
    </r>
    <r>
      <rPr>
        <sz val="9"/>
        <color theme="1"/>
        <rFont val="Menlo"/>
        <family val="2"/>
      </rPr>
      <t>100.00%</t>
    </r>
    <r>
      <rPr>
        <sz val="14"/>
        <color theme="1"/>
        <rFont val="Arial"/>
        <family val="2"/>
        <scheme val="minor"/>
      </rPr>
      <t>)</t>
    </r>
  </si>
  <si>
    <r>
      <t>4/12</t>
    </r>
    <r>
      <rPr>
        <sz val="14"/>
        <color theme="1"/>
        <rFont val="Arial"/>
        <family val="2"/>
        <scheme val="minor"/>
      </rPr>
      <t> (</t>
    </r>
    <r>
      <rPr>
        <sz val="9"/>
        <color theme="1"/>
        <rFont val="Menlo"/>
        <family val="2"/>
      </rPr>
      <t>33.33%</t>
    </r>
    <r>
      <rPr>
        <sz val="14"/>
        <color theme="1"/>
        <rFont val="Arial"/>
        <family val="2"/>
        <scheme val="minor"/>
      </rPr>
      <t>)</t>
    </r>
  </si>
  <si>
    <r>
      <t>7/12</t>
    </r>
    <r>
      <rPr>
        <sz val="14"/>
        <color theme="1"/>
        <rFont val="Arial"/>
        <family val="2"/>
        <scheme val="minor"/>
      </rPr>
      <t> (</t>
    </r>
    <r>
      <rPr>
        <sz val="9"/>
        <color theme="1"/>
        <rFont val="Menlo"/>
        <family val="2"/>
      </rPr>
      <t>58.33%</t>
    </r>
    <r>
      <rPr>
        <sz val="14"/>
        <color theme="1"/>
        <rFont val="Arial"/>
        <family val="2"/>
        <scheme val="minor"/>
      </rPr>
      <t>)</t>
    </r>
  </si>
  <si>
    <r>
      <t>2/5</t>
    </r>
    <r>
      <rPr>
        <sz val="14"/>
        <color theme="1"/>
        <rFont val="Arial"/>
        <family val="2"/>
        <scheme val="minor"/>
      </rPr>
      <t> (</t>
    </r>
    <r>
      <rPr>
        <sz val="9"/>
        <color theme="1"/>
        <rFont val="Menlo"/>
        <family val="2"/>
      </rPr>
      <t>40.00%</t>
    </r>
    <r>
      <rPr>
        <sz val="14"/>
        <color theme="1"/>
        <rFont val="Arial"/>
        <family val="2"/>
        <scheme val="minor"/>
      </rPr>
      <t>)</t>
    </r>
  </si>
  <si>
    <r>
      <t>3/6</t>
    </r>
    <r>
      <rPr>
        <sz val="14"/>
        <color theme="1"/>
        <rFont val="Arial"/>
        <family val="2"/>
        <scheme val="minor"/>
      </rPr>
      <t> (</t>
    </r>
    <r>
      <rPr>
        <sz val="9"/>
        <color theme="1"/>
        <rFont val="Menlo"/>
        <family val="2"/>
      </rPr>
      <t>50.00%</t>
    </r>
    <r>
      <rPr>
        <sz val="14"/>
        <color theme="1"/>
        <rFont val="Arial"/>
        <family val="2"/>
        <scheme val="minor"/>
      </rPr>
      <t>)</t>
    </r>
  </si>
  <si>
    <r>
      <t>4/6</t>
    </r>
    <r>
      <rPr>
        <sz val="14"/>
        <color theme="1"/>
        <rFont val="Arial"/>
        <family val="2"/>
        <scheme val="minor"/>
      </rPr>
      <t> (</t>
    </r>
    <r>
      <rPr>
        <sz val="9"/>
        <color theme="1"/>
        <rFont val="Menlo"/>
        <family val="2"/>
      </rPr>
      <t>66.67%</t>
    </r>
    <r>
      <rPr>
        <sz val="14"/>
        <color theme="1"/>
        <rFont val="Arial"/>
        <family val="2"/>
        <scheme val="minor"/>
      </rPr>
      <t>)</t>
    </r>
  </si>
  <si>
    <r>
      <t>6/9</t>
    </r>
    <r>
      <rPr>
        <sz val="14"/>
        <color theme="1"/>
        <rFont val="Arial"/>
        <family val="2"/>
        <scheme val="minor"/>
      </rPr>
      <t> (</t>
    </r>
    <r>
      <rPr>
        <sz val="9"/>
        <color theme="1"/>
        <rFont val="Menlo"/>
        <family val="2"/>
      </rPr>
      <t>66.67%</t>
    </r>
    <r>
      <rPr>
        <sz val="14"/>
        <color theme="1"/>
        <rFont val="Arial"/>
        <family val="2"/>
        <scheme val="minor"/>
      </rPr>
      <t>)</t>
    </r>
  </si>
  <si>
    <r>
      <t>2/10</t>
    </r>
    <r>
      <rPr>
        <sz val="14"/>
        <color theme="1"/>
        <rFont val="Arial"/>
        <family val="2"/>
        <scheme val="minor"/>
      </rPr>
      <t> (</t>
    </r>
    <r>
      <rPr>
        <sz val="9"/>
        <color theme="1"/>
        <rFont val="Menlo"/>
        <family val="2"/>
      </rPr>
      <t>20.00%</t>
    </r>
    <r>
      <rPr>
        <sz val="14"/>
        <color theme="1"/>
        <rFont val="Arial"/>
        <family val="2"/>
        <scheme val="minor"/>
      </rPr>
      <t>)</t>
    </r>
  </si>
  <si>
    <r>
      <t>6/10</t>
    </r>
    <r>
      <rPr>
        <sz val="14"/>
        <color theme="1"/>
        <rFont val="Arial"/>
        <family val="2"/>
        <scheme val="minor"/>
      </rPr>
      <t> (</t>
    </r>
    <r>
      <rPr>
        <sz val="9"/>
        <color theme="1"/>
        <rFont val="Menlo"/>
        <family val="2"/>
      </rPr>
      <t>60.00%</t>
    </r>
    <r>
      <rPr>
        <sz val="14"/>
        <color theme="1"/>
        <rFont val="Arial"/>
        <family val="2"/>
        <scheme val="minor"/>
      </rPr>
      <t>)</t>
    </r>
  </si>
  <si>
    <r>
      <t>3/8</t>
    </r>
    <r>
      <rPr>
        <sz val="14"/>
        <color theme="1"/>
        <rFont val="Arial"/>
        <family val="2"/>
        <scheme val="minor"/>
      </rPr>
      <t> (</t>
    </r>
    <r>
      <rPr>
        <sz val="9"/>
        <color theme="1"/>
        <rFont val="Menlo"/>
        <family val="2"/>
      </rPr>
      <t>37.50%</t>
    </r>
    <r>
      <rPr>
        <sz val="14"/>
        <color theme="1"/>
        <rFont val="Arial"/>
        <family val="2"/>
        <scheme val="minor"/>
      </rPr>
      <t>)</t>
    </r>
  </si>
  <si>
    <r>
      <t>7/8</t>
    </r>
    <r>
      <rPr>
        <sz val="14"/>
        <color theme="1"/>
        <rFont val="Arial"/>
        <family val="2"/>
        <scheme val="minor"/>
      </rPr>
      <t> (</t>
    </r>
    <r>
      <rPr>
        <sz val="9"/>
        <color theme="1"/>
        <rFont val="Menlo"/>
        <family val="2"/>
      </rPr>
      <t>87.50%</t>
    </r>
    <r>
      <rPr>
        <sz val="14"/>
        <color theme="1"/>
        <rFont val="Arial"/>
        <family val="2"/>
        <scheme val="minor"/>
      </rPr>
      <t>)</t>
    </r>
  </si>
  <si>
    <r>
      <t>2/7</t>
    </r>
    <r>
      <rPr>
        <sz val="14"/>
        <color theme="1"/>
        <rFont val="Arial"/>
        <family val="2"/>
        <scheme val="minor"/>
      </rPr>
      <t> (</t>
    </r>
    <r>
      <rPr>
        <sz val="9"/>
        <color theme="1"/>
        <rFont val="Menlo"/>
        <family val="2"/>
      </rPr>
      <t>28.57%</t>
    </r>
    <r>
      <rPr>
        <sz val="14"/>
        <color theme="1"/>
        <rFont val="Arial"/>
        <family val="2"/>
        <scheme val="minor"/>
      </rPr>
      <t>)</t>
    </r>
  </si>
  <si>
    <r>
      <t>1/9</t>
    </r>
    <r>
      <rPr>
        <sz val="14"/>
        <color theme="1"/>
        <rFont val="Arial"/>
        <family val="2"/>
        <scheme val="minor"/>
      </rPr>
      <t> (</t>
    </r>
    <r>
      <rPr>
        <sz val="9"/>
        <color theme="1"/>
        <rFont val="Menlo"/>
        <family val="2"/>
      </rPr>
      <t>11.11%</t>
    </r>
    <r>
      <rPr>
        <sz val="14"/>
        <color theme="1"/>
        <rFont val="Arial"/>
        <family val="2"/>
        <scheme val="minor"/>
      </rPr>
      <t>)</t>
    </r>
  </si>
  <si>
    <r>
      <t>8/9</t>
    </r>
    <r>
      <rPr>
        <sz val="14"/>
        <color theme="1"/>
        <rFont val="Arial"/>
        <family val="2"/>
        <scheme val="minor"/>
      </rPr>
      <t> (</t>
    </r>
    <r>
      <rPr>
        <sz val="9"/>
        <color theme="1"/>
        <rFont val="Menlo"/>
        <family val="2"/>
      </rPr>
      <t>88.89%</t>
    </r>
    <r>
      <rPr>
        <sz val="14"/>
        <color theme="1"/>
        <rFont val="Arial"/>
        <family val="2"/>
        <scheme val="minor"/>
      </rPr>
      <t>)</t>
    </r>
  </si>
  <si>
    <r>
      <t>3/19</t>
    </r>
    <r>
      <rPr>
        <sz val="14"/>
        <color theme="1"/>
        <rFont val="Arial"/>
        <family val="2"/>
        <scheme val="minor"/>
      </rPr>
      <t> (</t>
    </r>
    <r>
      <rPr>
        <sz val="9"/>
        <color theme="1"/>
        <rFont val="Menlo"/>
        <family val="2"/>
      </rPr>
      <t>15.79%</t>
    </r>
    <r>
      <rPr>
        <sz val="14"/>
        <color theme="1"/>
        <rFont val="Arial"/>
        <family val="2"/>
        <scheme val="minor"/>
      </rPr>
      <t>)</t>
    </r>
  </si>
  <si>
    <r>
      <t>16/19</t>
    </r>
    <r>
      <rPr>
        <sz val="14"/>
        <color theme="1"/>
        <rFont val="Arial"/>
        <family val="2"/>
        <scheme val="minor"/>
      </rPr>
      <t> (</t>
    </r>
    <r>
      <rPr>
        <sz val="9"/>
        <color theme="1"/>
        <rFont val="Menlo"/>
        <family val="2"/>
      </rPr>
      <t>84.21%</t>
    </r>
    <r>
      <rPr>
        <sz val="14"/>
        <color theme="1"/>
        <rFont val="Arial"/>
        <family val="2"/>
        <scheme val="minor"/>
      </rPr>
      <t>)</t>
    </r>
  </si>
  <si>
    <r>
      <t>2/9</t>
    </r>
    <r>
      <rPr>
        <sz val="14"/>
        <color theme="1"/>
        <rFont val="Arial"/>
        <family val="2"/>
        <scheme val="minor"/>
      </rPr>
      <t> (</t>
    </r>
    <r>
      <rPr>
        <sz val="9"/>
        <color theme="1"/>
        <rFont val="Menlo"/>
        <family val="2"/>
      </rPr>
      <t>22.22%</t>
    </r>
    <r>
      <rPr>
        <sz val="14"/>
        <color theme="1"/>
        <rFont val="Arial"/>
        <family val="2"/>
        <scheme val="minor"/>
      </rPr>
      <t>)</t>
    </r>
  </si>
  <si>
    <r>
      <t>5/13</t>
    </r>
    <r>
      <rPr>
        <sz val="14"/>
        <color theme="1"/>
        <rFont val="Arial"/>
        <family val="2"/>
        <scheme val="minor"/>
      </rPr>
      <t> (</t>
    </r>
    <r>
      <rPr>
        <sz val="9"/>
        <color theme="1"/>
        <rFont val="Menlo"/>
        <family val="2"/>
      </rPr>
      <t>38.46%</t>
    </r>
    <r>
      <rPr>
        <sz val="14"/>
        <color theme="1"/>
        <rFont val="Arial"/>
        <family val="2"/>
        <scheme val="minor"/>
      </rPr>
      <t>)</t>
    </r>
  </si>
  <si>
    <r>
      <t>10/13</t>
    </r>
    <r>
      <rPr>
        <sz val="14"/>
        <color theme="1"/>
        <rFont val="Arial"/>
        <family val="2"/>
        <scheme val="minor"/>
      </rPr>
      <t> (</t>
    </r>
    <r>
      <rPr>
        <sz val="9"/>
        <color theme="1"/>
        <rFont val="Menlo"/>
        <family val="2"/>
      </rPr>
      <t>76.92%</t>
    </r>
    <r>
      <rPr>
        <sz val="14"/>
        <color theme="1"/>
        <rFont val="Arial"/>
        <family val="2"/>
        <scheme val="minor"/>
      </rPr>
      <t>)</t>
    </r>
  </si>
  <si>
    <r>
      <t>7/10</t>
    </r>
    <r>
      <rPr>
        <sz val="14"/>
        <color theme="1"/>
        <rFont val="Arial"/>
        <family val="2"/>
        <scheme val="minor"/>
      </rPr>
      <t> (</t>
    </r>
    <r>
      <rPr>
        <sz val="9"/>
        <color theme="1"/>
        <rFont val="Menlo"/>
        <family val="2"/>
      </rPr>
      <t>70.00%</t>
    </r>
    <r>
      <rPr>
        <sz val="14"/>
        <color theme="1"/>
        <rFont val="Arial"/>
        <family val="2"/>
        <scheme val="minor"/>
      </rPr>
      <t>)</t>
    </r>
  </si>
  <si>
    <r>
      <t>9/10</t>
    </r>
    <r>
      <rPr>
        <sz val="14"/>
        <color theme="1"/>
        <rFont val="Arial"/>
        <family val="2"/>
        <scheme val="minor"/>
      </rPr>
      <t> (</t>
    </r>
    <r>
      <rPr>
        <sz val="9"/>
        <color theme="1"/>
        <rFont val="Menlo"/>
        <family val="2"/>
      </rPr>
      <t>90.00%</t>
    </r>
    <r>
      <rPr>
        <sz val="14"/>
        <color theme="1"/>
        <rFont val="Arial"/>
        <family val="2"/>
        <scheme val="minor"/>
      </rPr>
      <t>)</t>
    </r>
  </si>
  <si>
    <r>
      <t>4/9</t>
    </r>
    <r>
      <rPr>
        <sz val="14"/>
        <color theme="1"/>
        <rFont val="Arial"/>
        <family val="2"/>
        <scheme val="minor"/>
      </rPr>
      <t> (</t>
    </r>
    <r>
      <rPr>
        <sz val="9"/>
        <color theme="1"/>
        <rFont val="Menlo"/>
        <family val="2"/>
      </rPr>
      <t>44.44%</t>
    </r>
    <r>
      <rPr>
        <sz val="14"/>
        <color theme="1"/>
        <rFont val="Arial"/>
        <family val="2"/>
        <scheme val="minor"/>
      </rPr>
      <t>)</t>
    </r>
  </si>
  <si>
    <r>
      <t>5/9</t>
    </r>
    <r>
      <rPr>
        <sz val="14"/>
        <color theme="1"/>
        <rFont val="Arial"/>
        <family val="2"/>
        <scheme val="minor"/>
      </rPr>
      <t> (</t>
    </r>
    <r>
      <rPr>
        <sz val="9"/>
        <color theme="1"/>
        <rFont val="Menlo"/>
        <family val="2"/>
      </rPr>
      <t>55.56%</t>
    </r>
    <r>
      <rPr>
        <sz val="14"/>
        <color theme="1"/>
        <rFont val="Arial"/>
        <family val="2"/>
        <scheme val="minor"/>
      </rPr>
      <t>)</t>
    </r>
  </si>
  <si>
    <r>
      <t>4/8</t>
    </r>
    <r>
      <rPr>
        <sz val="14"/>
        <color theme="1"/>
        <rFont val="Arial"/>
        <family val="2"/>
        <scheme val="minor"/>
      </rPr>
      <t> (</t>
    </r>
    <r>
      <rPr>
        <sz val="9"/>
        <color theme="1"/>
        <rFont val="Menlo"/>
        <family val="2"/>
      </rPr>
      <t>50.00%</t>
    </r>
    <r>
      <rPr>
        <sz val="14"/>
        <color theme="1"/>
        <rFont val="Arial"/>
        <family val="2"/>
        <scheme val="minor"/>
      </rPr>
      <t>)</t>
    </r>
  </si>
  <si>
    <r>
      <t>5/8</t>
    </r>
    <r>
      <rPr>
        <sz val="14"/>
        <color theme="1"/>
        <rFont val="Arial"/>
        <family val="2"/>
        <scheme val="minor"/>
      </rPr>
      <t> (</t>
    </r>
    <r>
      <rPr>
        <sz val="9"/>
        <color theme="1"/>
        <rFont val="Menlo"/>
        <family val="2"/>
      </rPr>
      <t>62.50%</t>
    </r>
    <r>
      <rPr>
        <sz val="14"/>
        <color theme="1"/>
        <rFont val="Arial"/>
        <family val="2"/>
        <scheme val="minor"/>
      </rPr>
      <t>)</t>
    </r>
  </si>
  <si>
    <r>
      <t>9/19</t>
    </r>
    <r>
      <rPr>
        <sz val="14"/>
        <color theme="1"/>
        <rFont val="Arial"/>
        <family val="2"/>
        <scheme val="minor"/>
      </rPr>
      <t> (</t>
    </r>
    <r>
      <rPr>
        <sz val="9"/>
        <color theme="1"/>
        <rFont val="Menlo"/>
        <family val="2"/>
      </rPr>
      <t>47.37%</t>
    </r>
    <r>
      <rPr>
        <sz val="14"/>
        <color theme="1"/>
        <rFont val="Arial"/>
        <family val="2"/>
        <scheme val="minor"/>
      </rPr>
      <t>)</t>
    </r>
  </si>
  <si>
    <r>
      <t>15/19</t>
    </r>
    <r>
      <rPr>
        <sz val="14"/>
        <color theme="1"/>
        <rFont val="Arial"/>
        <family val="2"/>
        <scheme val="minor"/>
      </rPr>
      <t> (</t>
    </r>
    <r>
      <rPr>
        <sz val="9"/>
        <color theme="1"/>
        <rFont val="Menlo"/>
        <family val="2"/>
      </rPr>
      <t>78.95%</t>
    </r>
    <r>
      <rPr>
        <sz val="14"/>
        <color theme="1"/>
        <rFont val="Arial"/>
        <family val="2"/>
        <scheme val="minor"/>
      </rPr>
      <t>)</t>
    </r>
  </si>
  <si>
    <r>
      <t>4/10</t>
    </r>
    <r>
      <rPr>
        <sz val="14"/>
        <color theme="1"/>
        <rFont val="Arial"/>
        <family val="2"/>
        <scheme val="minor"/>
      </rPr>
      <t> (</t>
    </r>
    <r>
      <rPr>
        <sz val="9"/>
        <color theme="1"/>
        <rFont val="Menlo"/>
        <family val="2"/>
      </rPr>
      <t>40.00%</t>
    </r>
    <r>
      <rPr>
        <sz val="14"/>
        <color theme="1"/>
        <rFont val="Arial"/>
        <family val="2"/>
        <scheme val="minor"/>
      </rPr>
      <t>)</t>
    </r>
  </si>
  <si>
    <r>
      <t>8/10</t>
    </r>
    <r>
      <rPr>
        <sz val="14"/>
        <color theme="1"/>
        <rFont val="Arial"/>
        <family val="2"/>
        <scheme val="minor"/>
      </rPr>
      <t> (</t>
    </r>
    <r>
      <rPr>
        <sz val="9"/>
        <color theme="1"/>
        <rFont val="Menlo"/>
        <family val="2"/>
      </rPr>
      <t>80.00%</t>
    </r>
    <r>
      <rPr>
        <sz val="14"/>
        <color theme="1"/>
        <rFont val="Arial"/>
        <family val="2"/>
        <scheme val="minor"/>
      </rPr>
      <t>)</t>
    </r>
  </si>
  <si>
    <r>
      <t>5/7</t>
    </r>
    <r>
      <rPr>
        <sz val="14"/>
        <color theme="1"/>
        <rFont val="Arial"/>
        <family val="2"/>
        <scheme val="minor"/>
      </rPr>
      <t> (</t>
    </r>
    <r>
      <rPr>
        <sz val="9"/>
        <color theme="1"/>
        <rFont val="Menlo"/>
        <family val="2"/>
      </rPr>
      <t>71.43%</t>
    </r>
    <r>
      <rPr>
        <sz val="14"/>
        <color theme="1"/>
        <rFont val="Arial"/>
        <family val="2"/>
        <scheme val="minor"/>
      </rPr>
      <t>)</t>
    </r>
  </si>
  <si>
    <r>
      <t>8/11</t>
    </r>
    <r>
      <rPr>
        <sz val="14"/>
        <color theme="1"/>
        <rFont val="Arial"/>
        <family val="2"/>
        <scheme val="minor"/>
      </rPr>
      <t> (</t>
    </r>
    <r>
      <rPr>
        <sz val="9"/>
        <color theme="1"/>
        <rFont val="Menlo"/>
        <family val="2"/>
      </rPr>
      <t>72.73%</t>
    </r>
    <r>
      <rPr>
        <sz val="14"/>
        <color theme="1"/>
        <rFont val="Arial"/>
        <family val="2"/>
        <scheme val="minor"/>
      </rPr>
      <t>)</t>
    </r>
  </si>
  <si>
    <r>
      <t>10/16</t>
    </r>
    <r>
      <rPr>
        <sz val="14"/>
        <color theme="1"/>
        <rFont val="Arial"/>
        <family val="2"/>
        <scheme val="minor"/>
      </rPr>
      <t> (</t>
    </r>
    <r>
      <rPr>
        <sz val="9"/>
        <color theme="1"/>
        <rFont val="Menlo"/>
        <family val="2"/>
      </rPr>
      <t>62.50%</t>
    </r>
    <r>
      <rPr>
        <sz val="14"/>
        <color theme="1"/>
        <rFont val="Arial"/>
        <family val="2"/>
        <scheme val="minor"/>
      </rPr>
      <t>)</t>
    </r>
  </si>
  <si>
    <r>
      <t>16/16</t>
    </r>
    <r>
      <rPr>
        <sz val="14"/>
        <color theme="1"/>
        <rFont val="Arial"/>
        <family val="2"/>
        <scheme val="minor"/>
      </rPr>
      <t> (</t>
    </r>
    <r>
      <rPr>
        <sz val="9"/>
        <color theme="1"/>
        <rFont val="Menlo"/>
        <family val="2"/>
      </rPr>
      <t>100.00%</t>
    </r>
    <r>
      <rPr>
        <sz val="14"/>
        <color theme="1"/>
        <rFont val="Arial"/>
        <family val="2"/>
        <scheme val="minor"/>
      </rPr>
      <t>)</t>
    </r>
  </si>
  <si>
    <r>
      <t>2/16</t>
    </r>
    <r>
      <rPr>
        <sz val="14"/>
        <color theme="1"/>
        <rFont val="Arial"/>
        <family val="2"/>
        <scheme val="minor"/>
      </rPr>
      <t> (</t>
    </r>
    <r>
      <rPr>
        <sz val="9"/>
        <color theme="1"/>
        <rFont val="Menlo"/>
        <family val="2"/>
      </rPr>
      <t>12.50%</t>
    </r>
    <r>
      <rPr>
        <sz val="14"/>
        <color theme="1"/>
        <rFont val="Arial"/>
        <family val="2"/>
        <scheme val="minor"/>
      </rPr>
      <t>)</t>
    </r>
  </si>
  <si>
    <r>
      <t>15/16</t>
    </r>
    <r>
      <rPr>
        <sz val="14"/>
        <color theme="1"/>
        <rFont val="Arial"/>
        <family val="2"/>
        <scheme val="minor"/>
      </rPr>
      <t> (</t>
    </r>
    <r>
      <rPr>
        <sz val="9"/>
        <color theme="1"/>
        <rFont val="Menlo"/>
        <family val="2"/>
      </rPr>
      <t>93.75%</t>
    </r>
    <r>
      <rPr>
        <sz val="14"/>
        <color theme="1"/>
        <rFont val="Arial"/>
        <family val="2"/>
        <scheme val="minor"/>
      </rPr>
      <t>)</t>
    </r>
  </si>
  <si>
    <r>
      <t>8/8</t>
    </r>
    <r>
      <rPr>
        <sz val="14"/>
        <color theme="1"/>
        <rFont val="Arial"/>
        <family val="2"/>
        <scheme val="minor"/>
      </rPr>
      <t> (</t>
    </r>
    <r>
      <rPr>
        <sz val="9"/>
        <color theme="1"/>
        <rFont val="Menlo"/>
        <family val="2"/>
      </rPr>
      <t>100.00%</t>
    </r>
    <r>
      <rPr>
        <sz val="14"/>
        <color theme="1"/>
        <rFont val="Arial"/>
        <family val="2"/>
        <scheme val="minor"/>
      </rPr>
      <t>)</t>
    </r>
  </si>
  <si>
    <t>- Total equivalence classes: 296</t>
  </si>
  <si>
    <t>- Covered by base tests: 109 / 296 = 36.82%</t>
  </si>
  <si>
    <t>- Covered by mutated tests: 241 / 296 = 81.42%</t>
  </si>
  <si>
    <t>- Improvement: +132 ECs = +44.60 percentage points</t>
  </si>
  <si>
    <t>- Still uncovered after mutation: 55 / 296 = 18.58%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</si>
</sst>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\-m"/>
  </numFmts>
  <fonts count="5" x14ac:knownFonts="1">
    <font>
      <sz val="10"/>
      <color rgb="FF000000"/>
      <name val="Arial"/>
      <scheme val="minor"/>
    </font>
    <font>
      <sz val="10"/>
      <color theme="1"/>
      <name val="Arial"/>
      <family val="2"/>
      <scheme val="minor"/>
    </font>
    <font>
      <sz val="10"/>
      <color theme="1"/>
      <name val="Arial"/>
      <family val="2"/>
    </font>
    <font>
      <sz val="14"/>
      <color theme="1"/>
      <name val="Arial"/>
      <family val="2"/>
      <scheme val="minor"/>
    </font>
    <font>
      <sz val="9"/>
      <color theme="1"/>
      <name val="Menlo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0" fontId="1" fillId="0" borderId="0" xfId="0" applyNumberFormat="1" applyFont="1"/>
    <xf numFmtId="0" fontId="2" fillId="0" borderId="0" xfId="0" applyFont="1"/>
    <xf numFmtId="49" fontId="1" fillId="0" borderId="0" xfId="0" applyNumberFormat="1" applyFont="1"/>
    <xf numFmtId="164" fontId="1" fillId="0" borderId="0" xfId="0" applyNumberFormat="1" applyFont="1"/>
    <xf numFmtId="0" fontId="3" fillId="0" borderId="0" xfId="0" applyFont="1"/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calcChain" Target="calcChain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H11"/>
  <sheetViews>
    <sheetView workbookViewId="0"/>
  </sheetViews>
  <sheetFormatPr baseColWidth="10" defaultColWidth="12.6640625" defaultRowHeight="15.75" customHeight="1" x14ac:dyDescent="0.15"/>
  <sheetData>
    <row r="1" spans="1:8" ht="15.75" customHeight="1" x14ac:dyDescent="0.1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ht="15.75" customHeight="1" x14ac:dyDescent="0.15">
      <c r="A2" s="1" t="s">
        <v>8</v>
      </c>
      <c r="B2" s="1">
        <v>0</v>
      </c>
      <c r="C2" s="1" t="s">
        <v>9</v>
      </c>
      <c r="D2" s="1" t="s">
        <v>10</v>
      </c>
      <c r="E2" s="1" t="s">
        <v>10</v>
      </c>
      <c r="F2" s="1" t="s">
        <v>11</v>
      </c>
      <c r="G2" s="1">
        <v>0</v>
      </c>
      <c r="H2" s="1" t="s">
        <v>12</v>
      </c>
    </row>
    <row r="3" spans="1:8" ht="15.75" customHeight="1" x14ac:dyDescent="0.15">
      <c r="A3" s="1" t="s">
        <v>8</v>
      </c>
      <c r="B3" s="1">
        <v>1</v>
      </c>
      <c r="C3" s="1" t="s">
        <v>13</v>
      </c>
      <c r="D3" s="1" t="s">
        <v>10</v>
      </c>
      <c r="E3" s="1" t="s">
        <v>10</v>
      </c>
      <c r="F3" s="1" t="s">
        <v>11</v>
      </c>
      <c r="G3" s="1">
        <v>0</v>
      </c>
      <c r="H3" s="1" t="s">
        <v>12</v>
      </c>
    </row>
    <row r="4" spans="1:8" ht="15.75" customHeight="1" x14ac:dyDescent="0.15">
      <c r="A4" s="1" t="s">
        <v>8</v>
      </c>
      <c r="B4" s="1" t="s">
        <v>14</v>
      </c>
      <c r="C4" s="1" t="s">
        <v>15</v>
      </c>
      <c r="D4" s="1" t="s">
        <v>16</v>
      </c>
      <c r="E4" s="1" t="s">
        <v>10</v>
      </c>
      <c r="F4" s="1" t="s">
        <v>17</v>
      </c>
      <c r="G4" s="1">
        <v>0</v>
      </c>
      <c r="H4" s="1" t="s">
        <v>18</v>
      </c>
    </row>
    <row r="5" spans="1:8" ht="15.75" customHeight="1" x14ac:dyDescent="0.15">
      <c r="A5" s="1" t="s">
        <v>8</v>
      </c>
      <c r="B5" s="1" t="s">
        <v>14</v>
      </c>
      <c r="C5" s="1" t="s">
        <v>15</v>
      </c>
      <c r="D5" s="1" t="s">
        <v>19</v>
      </c>
      <c r="E5" s="1" t="s">
        <v>12</v>
      </c>
      <c r="F5" s="1" t="s">
        <v>17</v>
      </c>
      <c r="G5" s="1" t="s">
        <v>20</v>
      </c>
      <c r="H5" s="1" t="s">
        <v>18</v>
      </c>
    </row>
    <row r="6" spans="1:8" ht="15.75" customHeight="1" x14ac:dyDescent="0.15">
      <c r="A6" s="1" t="s">
        <v>8</v>
      </c>
      <c r="B6" s="1" t="s">
        <v>14</v>
      </c>
      <c r="C6" s="1" t="s">
        <v>15</v>
      </c>
      <c r="D6" s="1" t="s">
        <v>19</v>
      </c>
      <c r="E6" s="1" t="s">
        <v>18</v>
      </c>
      <c r="F6" s="1" t="s">
        <v>17</v>
      </c>
      <c r="G6" s="1" t="s">
        <v>20</v>
      </c>
      <c r="H6" s="1" t="s">
        <v>18</v>
      </c>
    </row>
    <row r="7" spans="1:8" ht="15.75" customHeight="1" x14ac:dyDescent="0.15">
      <c r="A7" s="1" t="s">
        <v>8</v>
      </c>
      <c r="B7" s="1" t="s">
        <v>14</v>
      </c>
      <c r="C7" s="1" t="s">
        <v>15</v>
      </c>
      <c r="D7" s="1" t="s">
        <v>19</v>
      </c>
      <c r="E7" s="1" t="s">
        <v>18</v>
      </c>
      <c r="F7" s="1">
        <v>0</v>
      </c>
      <c r="G7" s="1">
        <v>0</v>
      </c>
      <c r="H7" s="1" t="s">
        <v>12</v>
      </c>
    </row>
    <row r="8" spans="1:8" ht="15.75" customHeight="1" x14ac:dyDescent="0.15">
      <c r="A8" s="1" t="s">
        <v>21</v>
      </c>
      <c r="B8" s="1" t="s">
        <v>14</v>
      </c>
      <c r="C8" s="1" t="s">
        <v>22</v>
      </c>
      <c r="D8" s="1" t="s">
        <v>9</v>
      </c>
      <c r="E8" s="1" t="s">
        <v>9</v>
      </c>
      <c r="F8" s="1" t="s">
        <v>11</v>
      </c>
      <c r="G8" s="1" t="s">
        <v>23</v>
      </c>
      <c r="H8" s="1" t="s">
        <v>12</v>
      </c>
    </row>
    <row r="9" spans="1:8" ht="15.75" customHeight="1" x14ac:dyDescent="0.15">
      <c r="A9" s="1" t="s">
        <v>21</v>
      </c>
      <c r="B9" s="1" t="s">
        <v>14</v>
      </c>
      <c r="C9" s="1" t="s">
        <v>15</v>
      </c>
      <c r="D9" s="1" t="s">
        <v>11</v>
      </c>
      <c r="E9" s="1" t="s">
        <v>11</v>
      </c>
      <c r="F9" s="1" t="s">
        <v>24</v>
      </c>
      <c r="G9" s="1" t="s">
        <v>25</v>
      </c>
      <c r="H9" s="1" t="s">
        <v>12</v>
      </c>
    </row>
    <row r="10" spans="1:8" ht="15.75" customHeight="1" x14ac:dyDescent="0.15">
      <c r="A10" s="1" t="s">
        <v>26</v>
      </c>
      <c r="B10" s="1" t="s">
        <v>14</v>
      </c>
      <c r="C10" s="1" t="s">
        <v>15</v>
      </c>
      <c r="D10" s="1" t="s">
        <v>27</v>
      </c>
      <c r="E10" s="1" t="s">
        <v>10</v>
      </c>
      <c r="F10" s="1" t="s">
        <v>17</v>
      </c>
      <c r="G10" s="1">
        <v>0</v>
      </c>
      <c r="H10" s="1" t="s">
        <v>12</v>
      </c>
    </row>
    <row r="11" spans="1:8" ht="15.75" customHeight="1" x14ac:dyDescent="0.15">
      <c r="H11" s="2">
        <f>COUNTIF(H2:H10, "Yes")/COUNTA(H2:H10)</f>
        <v>0.33333333333333331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F13"/>
  <sheetViews>
    <sheetView workbookViewId="0"/>
  </sheetViews>
  <sheetFormatPr baseColWidth="10" defaultColWidth="12.6640625" defaultRowHeight="15.75" customHeight="1" x14ac:dyDescent="0.15"/>
  <sheetData>
    <row r="1" spans="1:6" ht="15.75" customHeight="1" x14ac:dyDescent="0.15">
      <c r="A1" s="1" t="s">
        <v>0</v>
      </c>
      <c r="B1" s="1" t="s">
        <v>28</v>
      </c>
      <c r="C1" s="1" t="s">
        <v>29</v>
      </c>
      <c r="D1" s="1" t="s">
        <v>30</v>
      </c>
      <c r="E1" s="1" t="s">
        <v>6</v>
      </c>
      <c r="F1" s="1" t="s">
        <v>7</v>
      </c>
    </row>
    <row r="2" spans="1:6" ht="15.75" customHeight="1" x14ac:dyDescent="0.15">
      <c r="A2" s="1" t="s">
        <v>8</v>
      </c>
      <c r="B2" s="1" t="s">
        <v>31</v>
      </c>
      <c r="C2" s="1" t="s">
        <v>10</v>
      </c>
      <c r="D2" s="1" t="s">
        <v>9</v>
      </c>
      <c r="E2" s="1">
        <v>0</v>
      </c>
      <c r="F2" s="1" t="s">
        <v>12</v>
      </c>
    </row>
    <row r="3" spans="1:6" ht="15.75" customHeight="1" x14ac:dyDescent="0.15">
      <c r="A3" s="1" t="s">
        <v>8</v>
      </c>
      <c r="B3" s="1" t="s">
        <v>32</v>
      </c>
      <c r="C3" s="1">
        <v>0</v>
      </c>
      <c r="D3" s="1" t="s">
        <v>9</v>
      </c>
      <c r="E3" s="1">
        <v>0</v>
      </c>
      <c r="F3" s="1" t="s">
        <v>12</v>
      </c>
    </row>
    <row r="4" spans="1:6" ht="15.75" customHeight="1" x14ac:dyDescent="0.15">
      <c r="A4" s="1" t="s">
        <v>8</v>
      </c>
      <c r="B4" s="1" t="s">
        <v>32</v>
      </c>
      <c r="C4" s="1">
        <v>1</v>
      </c>
      <c r="D4" s="1" t="s">
        <v>33</v>
      </c>
      <c r="E4" s="1">
        <v>1</v>
      </c>
      <c r="F4" s="1" t="s">
        <v>12</v>
      </c>
    </row>
    <row r="5" spans="1:6" ht="15.75" customHeight="1" x14ac:dyDescent="0.15">
      <c r="A5" s="1" t="s">
        <v>8</v>
      </c>
      <c r="B5" s="1" t="s">
        <v>32</v>
      </c>
      <c r="C5" s="1">
        <v>1</v>
      </c>
      <c r="D5" s="1" t="s">
        <v>34</v>
      </c>
      <c r="E5" s="1">
        <v>1</v>
      </c>
      <c r="F5" s="1" t="s">
        <v>12</v>
      </c>
    </row>
    <row r="6" spans="1:6" ht="15.75" customHeight="1" x14ac:dyDescent="0.15">
      <c r="A6" s="1" t="s">
        <v>8</v>
      </c>
      <c r="B6" s="1" t="s">
        <v>32</v>
      </c>
      <c r="C6" s="1">
        <v>1</v>
      </c>
      <c r="D6" s="1" t="s">
        <v>35</v>
      </c>
      <c r="E6" s="1">
        <v>1</v>
      </c>
      <c r="F6" s="1" t="s">
        <v>12</v>
      </c>
    </row>
    <row r="7" spans="1:6" ht="15.75" customHeight="1" x14ac:dyDescent="0.15">
      <c r="A7" s="1" t="s">
        <v>8</v>
      </c>
      <c r="B7" s="1" t="s">
        <v>32</v>
      </c>
      <c r="C7" s="1" t="s">
        <v>36</v>
      </c>
      <c r="D7" s="1" t="s">
        <v>35</v>
      </c>
      <c r="E7" s="1" t="s">
        <v>29</v>
      </c>
      <c r="F7" s="1" t="s">
        <v>18</v>
      </c>
    </row>
    <row r="8" spans="1:6" ht="15.75" customHeight="1" x14ac:dyDescent="0.15">
      <c r="A8" s="1" t="s">
        <v>8</v>
      </c>
      <c r="B8" s="1" t="s">
        <v>32</v>
      </c>
      <c r="C8" s="1" t="s">
        <v>37</v>
      </c>
      <c r="D8" s="1" t="s">
        <v>35</v>
      </c>
      <c r="E8" s="1" t="s">
        <v>29</v>
      </c>
      <c r="F8" s="1" t="s">
        <v>18</v>
      </c>
    </row>
    <row r="9" spans="1:6" ht="15.75" customHeight="1" x14ac:dyDescent="0.15">
      <c r="A9" s="1" t="s">
        <v>21</v>
      </c>
      <c r="B9" s="1" t="s">
        <v>38</v>
      </c>
      <c r="C9" s="1" t="s">
        <v>9</v>
      </c>
      <c r="D9" s="1" t="s">
        <v>9</v>
      </c>
      <c r="E9" s="1" t="s">
        <v>23</v>
      </c>
      <c r="F9" s="1" t="s">
        <v>12</v>
      </c>
    </row>
    <row r="10" spans="1:6" ht="15.75" customHeight="1" x14ac:dyDescent="0.15">
      <c r="A10" s="1" t="s">
        <v>21</v>
      </c>
      <c r="B10" s="1" t="s">
        <v>39</v>
      </c>
      <c r="C10" s="1" t="s">
        <v>9</v>
      </c>
      <c r="D10" s="1" t="s">
        <v>9</v>
      </c>
      <c r="E10" s="1" t="s">
        <v>23</v>
      </c>
      <c r="F10" s="1" t="s">
        <v>12</v>
      </c>
    </row>
    <row r="11" spans="1:6" ht="15.75" customHeight="1" x14ac:dyDescent="0.15">
      <c r="A11" s="1" t="s">
        <v>26</v>
      </c>
      <c r="B11" s="1" t="s">
        <v>32</v>
      </c>
      <c r="C11" s="1" t="s">
        <v>40</v>
      </c>
      <c r="D11" s="1" t="s">
        <v>33</v>
      </c>
      <c r="E11" s="1">
        <v>2</v>
      </c>
      <c r="F11" s="1" t="s">
        <v>12</v>
      </c>
    </row>
    <row r="12" spans="1:6" ht="15.75" customHeight="1" x14ac:dyDescent="0.15">
      <c r="A12" s="1" t="s">
        <v>26</v>
      </c>
      <c r="B12" s="1" t="s">
        <v>32</v>
      </c>
      <c r="C12" s="1" t="s">
        <v>41</v>
      </c>
      <c r="D12" s="1" t="s">
        <v>33</v>
      </c>
      <c r="E12" s="1">
        <v>2</v>
      </c>
      <c r="F12" s="1" t="s">
        <v>12</v>
      </c>
    </row>
    <row r="13" spans="1:6" ht="15.75" customHeight="1" x14ac:dyDescent="0.15">
      <c r="F13" s="2">
        <f>COUNTIF(F2:F12,"Yes")/COUNTA(F2:F12)</f>
        <v>0.18181818181818182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F8"/>
  <sheetViews>
    <sheetView workbookViewId="0"/>
  </sheetViews>
  <sheetFormatPr baseColWidth="10" defaultColWidth="12.6640625" defaultRowHeight="15.75" customHeight="1" x14ac:dyDescent="0.15"/>
  <sheetData>
    <row r="1" spans="1:6" ht="15.75" customHeight="1" x14ac:dyDescent="0.15">
      <c r="A1" s="1" t="s">
        <v>0</v>
      </c>
      <c r="B1" s="1" t="s">
        <v>1</v>
      </c>
      <c r="C1" s="1" t="s">
        <v>2</v>
      </c>
      <c r="D1" s="1" t="s">
        <v>42</v>
      </c>
      <c r="E1" s="1" t="s">
        <v>6</v>
      </c>
      <c r="F1" s="1" t="s">
        <v>7</v>
      </c>
    </row>
    <row r="2" spans="1:6" ht="15.75" customHeight="1" x14ac:dyDescent="0.15">
      <c r="A2" s="1" t="s">
        <v>8</v>
      </c>
      <c r="B2" s="1" t="s">
        <v>43</v>
      </c>
      <c r="C2" s="1" t="s">
        <v>44</v>
      </c>
      <c r="D2" s="1" t="s">
        <v>45</v>
      </c>
      <c r="E2" s="1" t="s">
        <v>46</v>
      </c>
      <c r="F2" s="1" t="s">
        <v>18</v>
      </c>
    </row>
    <row r="3" spans="1:6" ht="15.75" customHeight="1" x14ac:dyDescent="0.15">
      <c r="A3" s="1" t="s">
        <v>21</v>
      </c>
      <c r="B3" s="1" t="s">
        <v>43</v>
      </c>
      <c r="C3" s="1" t="s">
        <v>47</v>
      </c>
      <c r="D3" s="1" t="s">
        <v>45</v>
      </c>
      <c r="E3" s="1" t="s">
        <v>23</v>
      </c>
      <c r="F3" s="1" t="s">
        <v>12</v>
      </c>
    </row>
    <row r="4" spans="1:6" ht="15.75" customHeight="1" x14ac:dyDescent="0.15">
      <c r="A4" s="1" t="s">
        <v>21</v>
      </c>
      <c r="B4" s="1" t="s">
        <v>43</v>
      </c>
      <c r="C4" s="1" t="s">
        <v>45</v>
      </c>
      <c r="D4" s="1" t="s">
        <v>47</v>
      </c>
      <c r="E4" s="1" t="s">
        <v>23</v>
      </c>
      <c r="F4" s="1" t="s">
        <v>12</v>
      </c>
    </row>
    <row r="5" spans="1:6" ht="15.75" customHeight="1" x14ac:dyDescent="0.15">
      <c r="A5" s="1" t="s">
        <v>26</v>
      </c>
      <c r="B5" s="1">
        <v>0</v>
      </c>
      <c r="D5" s="1" t="s">
        <v>45</v>
      </c>
      <c r="E5" s="1" t="s">
        <v>48</v>
      </c>
      <c r="F5" s="1" t="s">
        <v>18</v>
      </c>
    </row>
    <row r="6" spans="1:6" ht="15.75" customHeight="1" x14ac:dyDescent="0.15">
      <c r="A6" s="1" t="s">
        <v>26</v>
      </c>
      <c r="B6" s="1">
        <v>1</v>
      </c>
      <c r="C6" s="1" t="s">
        <v>45</v>
      </c>
      <c r="D6" s="1" t="s">
        <v>45</v>
      </c>
      <c r="E6" s="1" t="s">
        <v>49</v>
      </c>
      <c r="F6" s="1" t="s">
        <v>12</v>
      </c>
    </row>
    <row r="7" spans="1:6" ht="15.75" customHeight="1" x14ac:dyDescent="0.15">
      <c r="A7" s="1" t="s">
        <v>26</v>
      </c>
      <c r="B7" s="1">
        <v>2</v>
      </c>
      <c r="C7" s="1" t="s">
        <v>44</v>
      </c>
      <c r="D7" s="1" t="s">
        <v>45</v>
      </c>
      <c r="E7" s="1" t="s">
        <v>46</v>
      </c>
      <c r="F7" s="1" t="s">
        <v>12</v>
      </c>
    </row>
    <row r="8" spans="1:6" ht="15.75" customHeight="1" x14ac:dyDescent="0.15">
      <c r="F8" s="2">
        <f>COUNTIF(F2:F7, "Yes")/COUNTA(F2:F7)</f>
        <v>0.33333333333333331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G9"/>
  <sheetViews>
    <sheetView workbookViewId="0"/>
  </sheetViews>
  <sheetFormatPr baseColWidth="10" defaultColWidth="12.6640625" defaultRowHeight="15.75" customHeight="1" x14ac:dyDescent="0.15"/>
  <sheetData>
    <row r="1" spans="1:7" ht="15.75" customHeight="1" x14ac:dyDescent="0.15">
      <c r="A1" s="1" t="s">
        <v>0</v>
      </c>
      <c r="B1" s="1" t="s">
        <v>1</v>
      </c>
      <c r="C1" s="1" t="s">
        <v>50</v>
      </c>
      <c r="D1" s="1" t="s">
        <v>51</v>
      </c>
      <c r="E1" s="1" t="s">
        <v>52</v>
      </c>
      <c r="F1" s="1" t="s">
        <v>6</v>
      </c>
      <c r="G1" s="1" t="s">
        <v>7</v>
      </c>
    </row>
    <row r="2" spans="1:7" ht="15.75" customHeight="1" x14ac:dyDescent="0.15">
      <c r="A2" s="1" t="s">
        <v>8</v>
      </c>
      <c r="B2" s="1" t="s">
        <v>43</v>
      </c>
      <c r="C2" s="1" t="s">
        <v>44</v>
      </c>
      <c r="D2" s="1" t="s">
        <v>53</v>
      </c>
      <c r="E2" s="1" t="s">
        <v>54</v>
      </c>
      <c r="F2" s="1" t="s">
        <v>46</v>
      </c>
      <c r="G2" s="1" t="s">
        <v>18</v>
      </c>
    </row>
    <row r="3" spans="1:7" ht="15.75" customHeight="1" x14ac:dyDescent="0.15">
      <c r="A3" s="1" t="s">
        <v>8</v>
      </c>
      <c r="B3" s="1" t="s">
        <v>43</v>
      </c>
      <c r="C3" s="1" t="s">
        <v>44</v>
      </c>
      <c r="D3" s="1" t="s">
        <v>53</v>
      </c>
      <c r="E3" s="1" t="s">
        <v>55</v>
      </c>
      <c r="F3" s="1" t="s">
        <v>46</v>
      </c>
      <c r="G3" s="1" t="s">
        <v>12</v>
      </c>
    </row>
    <row r="4" spans="1:7" ht="15.75" customHeight="1" x14ac:dyDescent="0.15">
      <c r="A4" s="1" t="s">
        <v>8</v>
      </c>
      <c r="B4" s="1" t="s">
        <v>43</v>
      </c>
      <c r="C4" s="1" t="s">
        <v>44</v>
      </c>
      <c r="D4" s="1" t="s">
        <v>53</v>
      </c>
      <c r="E4" s="1" t="s">
        <v>56</v>
      </c>
      <c r="F4" s="1" t="s">
        <v>46</v>
      </c>
      <c r="G4" s="1" t="s">
        <v>12</v>
      </c>
    </row>
    <row r="5" spans="1:7" ht="15.75" customHeight="1" x14ac:dyDescent="0.15">
      <c r="A5" s="1" t="s">
        <v>8</v>
      </c>
      <c r="B5" s="1" t="s">
        <v>43</v>
      </c>
      <c r="C5" s="1" t="s">
        <v>44</v>
      </c>
      <c r="D5" s="1" t="s">
        <v>57</v>
      </c>
      <c r="E5" s="1" t="s">
        <v>54</v>
      </c>
      <c r="F5" s="1" t="s">
        <v>46</v>
      </c>
      <c r="G5" s="1" t="s">
        <v>12</v>
      </c>
    </row>
    <row r="6" spans="1:7" ht="15.75" customHeight="1" x14ac:dyDescent="0.15">
      <c r="A6" s="1" t="s">
        <v>21</v>
      </c>
      <c r="B6" s="1" t="s">
        <v>43</v>
      </c>
      <c r="C6" s="1" t="s">
        <v>58</v>
      </c>
      <c r="D6" s="1" t="s">
        <v>11</v>
      </c>
      <c r="E6" s="1" t="s">
        <v>11</v>
      </c>
      <c r="F6" s="1" t="s">
        <v>23</v>
      </c>
      <c r="G6" s="1" t="s">
        <v>12</v>
      </c>
    </row>
    <row r="7" spans="1:7" ht="15.75" customHeight="1" x14ac:dyDescent="0.15">
      <c r="A7" s="1" t="s">
        <v>26</v>
      </c>
      <c r="B7" s="1">
        <v>0</v>
      </c>
      <c r="F7" s="1" t="s">
        <v>59</v>
      </c>
      <c r="G7" s="1" t="s">
        <v>18</v>
      </c>
    </row>
    <row r="8" spans="1:7" ht="15.75" customHeight="1" x14ac:dyDescent="0.15">
      <c r="A8" s="1" t="s">
        <v>26</v>
      </c>
      <c r="B8" s="1">
        <v>1</v>
      </c>
      <c r="C8" s="1" t="s">
        <v>45</v>
      </c>
      <c r="D8" s="1" t="s">
        <v>60</v>
      </c>
      <c r="E8" s="1" t="s">
        <v>43</v>
      </c>
      <c r="F8" s="1" t="s">
        <v>61</v>
      </c>
      <c r="G8" s="1" t="s">
        <v>18</v>
      </c>
    </row>
    <row r="9" spans="1:7" ht="15.75" customHeight="1" x14ac:dyDescent="0.15">
      <c r="G9" s="2">
        <f>COUNTIF(G2:G8, "Yes")/COUNTA(G2:G8)</f>
        <v>0.42857142857142855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F17"/>
  <sheetViews>
    <sheetView workbookViewId="0"/>
  </sheetViews>
  <sheetFormatPr baseColWidth="10" defaultColWidth="12.6640625" defaultRowHeight="15.75" customHeight="1" x14ac:dyDescent="0.15"/>
  <sheetData>
    <row r="1" spans="1:6" ht="15.75" customHeight="1" x14ac:dyDescent="0.15">
      <c r="A1" s="1" t="s">
        <v>0</v>
      </c>
      <c r="B1" s="1" t="s">
        <v>62</v>
      </c>
      <c r="C1" s="1" t="s">
        <v>63</v>
      </c>
      <c r="D1" s="1" t="s">
        <v>64</v>
      </c>
      <c r="E1" s="1" t="s">
        <v>6</v>
      </c>
      <c r="F1" s="1" t="s">
        <v>7</v>
      </c>
    </row>
    <row r="2" spans="1:6" ht="15.75" customHeight="1" x14ac:dyDescent="0.15">
      <c r="A2" s="1" t="s">
        <v>8</v>
      </c>
      <c r="B2" s="1" t="s">
        <v>65</v>
      </c>
      <c r="C2" s="1" t="s">
        <v>65</v>
      </c>
      <c r="D2" s="1" t="s">
        <v>66</v>
      </c>
      <c r="E2" s="1">
        <v>1</v>
      </c>
      <c r="F2" s="1" t="s">
        <v>18</v>
      </c>
    </row>
    <row r="3" spans="1:6" ht="15.75" customHeight="1" x14ac:dyDescent="0.15">
      <c r="A3" s="1" t="s">
        <v>8</v>
      </c>
      <c r="B3" s="1" t="s">
        <v>65</v>
      </c>
      <c r="C3" s="1" t="s">
        <v>65</v>
      </c>
      <c r="D3" s="1" t="s">
        <v>67</v>
      </c>
      <c r="E3" s="1" t="s">
        <v>62</v>
      </c>
      <c r="F3" s="1" t="s">
        <v>12</v>
      </c>
    </row>
    <row r="4" spans="1:6" ht="15.75" customHeight="1" x14ac:dyDescent="0.15">
      <c r="A4" s="1" t="s">
        <v>8</v>
      </c>
      <c r="B4" s="1" t="s">
        <v>65</v>
      </c>
      <c r="C4" s="1" t="s">
        <v>65</v>
      </c>
      <c r="D4" s="1" t="s">
        <v>68</v>
      </c>
      <c r="E4" s="1" t="s">
        <v>63</v>
      </c>
      <c r="F4" s="1" t="s">
        <v>12</v>
      </c>
    </row>
    <row r="5" spans="1:6" ht="15.75" customHeight="1" x14ac:dyDescent="0.15">
      <c r="A5" s="1" t="s">
        <v>8</v>
      </c>
      <c r="B5" s="1" t="s">
        <v>65</v>
      </c>
      <c r="C5" s="1" t="s">
        <v>65</v>
      </c>
      <c r="D5" s="1" t="s">
        <v>69</v>
      </c>
      <c r="E5" s="1" t="s">
        <v>70</v>
      </c>
      <c r="F5" s="1" t="s">
        <v>18</v>
      </c>
    </row>
    <row r="6" spans="1:6" ht="15.75" customHeight="1" x14ac:dyDescent="0.15">
      <c r="A6" s="1" t="s">
        <v>8</v>
      </c>
      <c r="B6" s="1" t="s">
        <v>65</v>
      </c>
      <c r="C6" s="1" t="s">
        <v>71</v>
      </c>
      <c r="D6" s="1" t="s">
        <v>69</v>
      </c>
      <c r="E6" s="1" t="s">
        <v>72</v>
      </c>
      <c r="F6" s="1" t="s">
        <v>12</v>
      </c>
    </row>
    <row r="7" spans="1:6" ht="15.75" customHeight="1" x14ac:dyDescent="0.15">
      <c r="A7" s="1" t="s">
        <v>8</v>
      </c>
      <c r="B7" s="1" t="s">
        <v>71</v>
      </c>
      <c r="C7" s="1" t="s">
        <v>65</v>
      </c>
      <c r="D7" s="1" t="s">
        <v>69</v>
      </c>
      <c r="E7" s="1" t="s">
        <v>73</v>
      </c>
      <c r="F7" s="1" t="s">
        <v>12</v>
      </c>
    </row>
    <row r="8" spans="1:6" ht="15.75" customHeight="1" x14ac:dyDescent="0.15">
      <c r="A8" s="1" t="s">
        <v>8</v>
      </c>
      <c r="B8" s="1" t="s">
        <v>71</v>
      </c>
      <c r="C8" s="1" t="s">
        <v>71</v>
      </c>
      <c r="D8" s="1" t="s">
        <v>69</v>
      </c>
      <c r="E8" s="1" t="s">
        <v>74</v>
      </c>
      <c r="F8" s="1" t="s">
        <v>12</v>
      </c>
    </row>
    <row r="9" spans="1:6" ht="15.75" customHeight="1" x14ac:dyDescent="0.15">
      <c r="A9" s="1" t="s">
        <v>8</v>
      </c>
      <c r="B9" s="1" t="s">
        <v>65</v>
      </c>
      <c r="C9" s="1" t="s">
        <v>65</v>
      </c>
      <c r="D9" s="1" t="s">
        <v>75</v>
      </c>
      <c r="E9" s="1" t="s">
        <v>76</v>
      </c>
      <c r="F9" s="1" t="s">
        <v>12</v>
      </c>
    </row>
    <row r="10" spans="1:6" ht="15.75" customHeight="1" x14ac:dyDescent="0.15">
      <c r="A10" s="1" t="s">
        <v>8</v>
      </c>
      <c r="B10" s="1">
        <v>0</v>
      </c>
      <c r="C10" s="1" t="s">
        <v>65</v>
      </c>
      <c r="D10" s="1" t="s">
        <v>9</v>
      </c>
      <c r="E10" s="1" t="s">
        <v>77</v>
      </c>
      <c r="F10" s="1" t="s">
        <v>12</v>
      </c>
    </row>
    <row r="11" spans="1:6" ht="15.75" customHeight="1" x14ac:dyDescent="0.15">
      <c r="A11" s="1" t="s">
        <v>8</v>
      </c>
      <c r="B11" s="1" t="s">
        <v>65</v>
      </c>
      <c r="C11" s="1">
        <v>0</v>
      </c>
      <c r="D11" s="1" t="s">
        <v>9</v>
      </c>
      <c r="E11" s="1" t="s">
        <v>78</v>
      </c>
      <c r="F11" s="1" t="s">
        <v>12</v>
      </c>
    </row>
    <row r="12" spans="1:6" ht="15.75" customHeight="1" x14ac:dyDescent="0.15">
      <c r="A12" s="1" t="s">
        <v>21</v>
      </c>
      <c r="B12" s="1">
        <v>0</v>
      </c>
      <c r="C12" s="1">
        <v>0</v>
      </c>
      <c r="D12" s="1" t="s">
        <v>9</v>
      </c>
      <c r="E12" s="1" t="s">
        <v>23</v>
      </c>
      <c r="F12" s="1" t="s">
        <v>12</v>
      </c>
    </row>
    <row r="13" spans="1:6" ht="15.75" customHeight="1" x14ac:dyDescent="0.15">
      <c r="A13" s="1" t="s">
        <v>21</v>
      </c>
      <c r="B13" s="1" t="s">
        <v>47</v>
      </c>
      <c r="C13" s="1" t="s">
        <v>65</v>
      </c>
      <c r="D13" s="1" t="s">
        <v>9</v>
      </c>
      <c r="E13" s="1" t="s">
        <v>23</v>
      </c>
      <c r="F13" s="1" t="s">
        <v>12</v>
      </c>
    </row>
    <row r="14" spans="1:6" ht="15.75" customHeight="1" x14ac:dyDescent="0.15">
      <c r="A14" s="1" t="s">
        <v>21</v>
      </c>
      <c r="B14" s="1" t="s">
        <v>65</v>
      </c>
      <c r="C14" s="1" t="s">
        <v>47</v>
      </c>
      <c r="D14" s="1" t="s">
        <v>9</v>
      </c>
      <c r="E14" s="1" t="s">
        <v>23</v>
      </c>
      <c r="F14" s="1" t="s">
        <v>12</v>
      </c>
    </row>
    <row r="15" spans="1:6" ht="15.75" customHeight="1" x14ac:dyDescent="0.15">
      <c r="A15" s="1" t="s">
        <v>26</v>
      </c>
      <c r="B15" s="1" t="s">
        <v>65</v>
      </c>
      <c r="C15" s="1" t="s">
        <v>79</v>
      </c>
      <c r="D15" s="1" t="s">
        <v>69</v>
      </c>
      <c r="E15" s="1" t="s">
        <v>70</v>
      </c>
      <c r="F15" s="1" t="s">
        <v>12</v>
      </c>
    </row>
    <row r="16" spans="1:6" ht="15.75" customHeight="1" x14ac:dyDescent="0.15">
      <c r="A16" s="1" t="s">
        <v>26</v>
      </c>
      <c r="B16" s="1" t="s">
        <v>65</v>
      </c>
      <c r="C16" s="1" t="s">
        <v>80</v>
      </c>
      <c r="D16" s="1" t="s">
        <v>69</v>
      </c>
      <c r="E16" s="1" t="s">
        <v>70</v>
      </c>
      <c r="F16" s="1" t="s">
        <v>12</v>
      </c>
    </row>
    <row r="17" spans="6:6" ht="15.75" customHeight="1" x14ac:dyDescent="0.15">
      <c r="F17" s="2">
        <f>COUNTIF(F2:F16,"Yes")/COUNTA(F2:F16)</f>
        <v>0.13333333333333333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E7"/>
  <sheetViews>
    <sheetView workbookViewId="0"/>
  </sheetViews>
  <sheetFormatPr baseColWidth="10" defaultColWidth="12.6640625" defaultRowHeight="15.75" customHeight="1" x14ac:dyDescent="0.15"/>
  <sheetData>
    <row r="1" spans="1:5" ht="15.75" customHeight="1" x14ac:dyDescent="0.15">
      <c r="A1" s="1" t="s">
        <v>0</v>
      </c>
      <c r="B1" s="1" t="s">
        <v>28</v>
      </c>
      <c r="C1" s="1" t="s">
        <v>81</v>
      </c>
      <c r="D1" s="1" t="s">
        <v>6</v>
      </c>
      <c r="E1" s="1" t="s">
        <v>82</v>
      </c>
    </row>
    <row r="2" spans="1:5" ht="15.75" customHeight="1" x14ac:dyDescent="0.15">
      <c r="A2" s="1" t="s">
        <v>8</v>
      </c>
      <c r="B2" s="1" t="s">
        <v>83</v>
      </c>
      <c r="D2" s="1">
        <v>0</v>
      </c>
      <c r="E2" s="1" t="s">
        <v>18</v>
      </c>
    </row>
    <row r="3" spans="1:5" ht="15.75" customHeight="1" x14ac:dyDescent="0.15">
      <c r="A3" s="1" t="s">
        <v>8</v>
      </c>
      <c r="B3" s="1" t="s">
        <v>84</v>
      </c>
      <c r="C3" s="1" t="s">
        <v>85</v>
      </c>
      <c r="D3" s="1" t="s">
        <v>46</v>
      </c>
      <c r="E3" s="1" t="s">
        <v>18</v>
      </c>
    </row>
    <row r="4" spans="1:5" ht="15.75" customHeight="1" x14ac:dyDescent="0.15">
      <c r="A4" s="1" t="s">
        <v>8</v>
      </c>
      <c r="B4" s="1" t="s">
        <v>84</v>
      </c>
      <c r="C4" s="1" t="s">
        <v>86</v>
      </c>
      <c r="D4" s="1" t="s">
        <v>46</v>
      </c>
      <c r="E4" s="1" t="s">
        <v>18</v>
      </c>
    </row>
    <row r="5" spans="1:5" ht="15.75" customHeight="1" x14ac:dyDescent="0.15">
      <c r="A5" s="1" t="s">
        <v>21</v>
      </c>
      <c r="B5" s="1" t="s">
        <v>84</v>
      </c>
      <c r="C5" s="1" t="s">
        <v>87</v>
      </c>
      <c r="D5" s="1" t="s">
        <v>23</v>
      </c>
      <c r="E5" s="1" t="s">
        <v>12</v>
      </c>
    </row>
    <row r="6" spans="1:5" ht="15.75" customHeight="1" x14ac:dyDescent="0.15">
      <c r="A6" s="1" t="s">
        <v>21</v>
      </c>
      <c r="B6" s="1" t="s">
        <v>88</v>
      </c>
      <c r="D6" s="1" t="s">
        <v>23</v>
      </c>
      <c r="E6" s="1" t="s">
        <v>12</v>
      </c>
    </row>
    <row r="7" spans="1:5" ht="15.75" customHeight="1" x14ac:dyDescent="0.15">
      <c r="E7" s="2">
        <f>COUNTIF(E2:E6, "Yes")/COUNTA(E2:E6)</f>
        <v>0.6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G14"/>
  <sheetViews>
    <sheetView workbookViewId="0"/>
  </sheetViews>
  <sheetFormatPr baseColWidth="10" defaultColWidth="12.6640625" defaultRowHeight="15.75" customHeight="1" x14ac:dyDescent="0.15"/>
  <sheetData>
    <row r="1" spans="1:7" ht="15.75" customHeight="1" x14ac:dyDescent="0.15">
      <c r="A1" s="1" t="s">
        <v>0</v>
      </c>
      <c r="B1" s="1" t="s">
        <v>28</v>
      </c>
      <c r="C1" s="1" t="s">
        <v>89</v>
      </c>
      <c r="D1" s="1" t="s">
        <v>90</v>
      </c>
      <c r="E1" s="1" t="s">
        <v>91</v>
      </c>
      <c r="F1" s="1" t="s">
        <v>6</v>
      </c>
      <c r="G1" s="1" t="s">
        <v>7</v>
      </c>
    </row>
    <row r="2" spans="1:7" ht="15.75" customHeight="1" x14ac:dyDescent="0.15">
      <c r="A2" s="1" t="s">
        <v>8</v>
      </c>
      <c r="B2" s="1" t="s">
        <v>31</v>
      </c>
      <c r="C2" s="1" t="s">
        <v>32</v>
      </c>
      <c r="D2" s="1" t="s">
        <v>11</v>
      </c>
      <c r="E2" s="1" t="s">
        <v>10</v>
      </c>
      <c r="F2" s="1">
        <v>0</v>
      </c>
      <c r="G2" s="1" t="s">
        <v>18</v>
      </c>
    </row>
    <row r="3" spans="1:7" ht="15.75" customHeight="1" x14ac:dyDescent="0.15">
      <c r="A3" s="1" t="s">
        <v>8</v>
      </c>
      <c r="B3" s="1" t="s">
        <v>32</v>
      </c>
      <c r="C3" s="1" t="s">
        <v>31</v>
      </c>
      <c r="D3" s="1" t="s">
        <v>10</v>
      </c>
      <c r="E3" s="1" t="s">
        <v>92</v>
      </c>
      <c r="F3" s="1" t="s">
        <v>93</v>
      </c>
      <c r="G3" s="1" t="s">
        <v>12</v>
      </c>
    </row>
    <row r="4" spans="1:7" ht="15.75" customHeight="1" x14ac:dyDescent="0.15">
      <c r="A4" s="1" t="s">
        <v>8</v>
      </c>
      <c r="B4" s="1" t="s">
        <v>31</v>
      </c>
      <c r="C4" s="1" t="s">
        <v>31</v>
      </c>
      <c r="D4" s="1" t="s">
        <v>10</v>
      </c>
      <c r="E4" s="1" t="s">
        <v>92</v>
      </c>
      <c r="F4" s="1" t="s">
        <v>93</v>
      </c>
      <c r="G4" s="1" t="s">
        <v>12</v>
      </c>
    </row>
    <row r="5" spans="1:7" ht="15.75" customHeight="1" x14ac:dyDescent="0.15">
      <c r="A5" s="1" t="s">
        <v>8</v>
      </c>
      <c r="B5" s="1" t="s">
        <v>32</v>
      </c>
      <c r="C5" s="1" t="s">
        <v>32</v>
      </c>
      <c r="D5" s="1" t="s">
        <v>94</v>
      </c>
      <c r="E5" s="1" t="s">
        <v>10</v>
      </c>
      <c r="F5" s="1">
        <v>0</v>
      </c>
      <c r="G5" s="1" t="s">
        <v>12</v>
      </c>
    </row>
    <row r="6" spans="1:7" ht="15.75" customHeight="1" x14ac:dyDescent="0.15">
      <c r="A6" s="1" t="s">
        <v>8</v>
      </c>
      <c r="B6" s="1" t="s">
        <v>32</v>
      </c>
      <c r="C6" s="1" t="s">
        <v>32</v>
      </c>
      <c r="D6" s="1" t="s">
        <v>95</v>
      </c>
      <c r="E6" s="1">
        <v>0</v>
      </c>
      <c r="F6" s="1">
        <v>0</v>
      </c>
      <c r="G6" s="1" t="s">
        <v>12</v>
      </c>
    </row>
    <row r="7" spans="1:7" ht="15.75" customHeight="1" x14ac:dyDescent="0.15">
      <c r="A7" s="1" t="s">
        <v>8</v>
      </c>
      <c r="B7" s="1" t="s">
        <v>32</v>
      </c>
      <c r="C7" s="1" t="s">
        <v>32</v>
      </c>
      <c r="D7" s="1" t="s">
        <v>95</v>
      </c>
      <c r="E7" s="1">
        <v>1</v>
      </c>
      <c r="F7" s="1">
        <v>1</v>
      </c>
      <c r="G7" s="1" t="s">
        <v>12</v>
      </c>
    </row>
    <row r="8" spans="1:7" ht="15.75" customHeight="1" x14ac:dyDescent="0.15">
      <c r="A8" s="1" t="s">
        <v>8</v>
      </c>
      <c r="B8" s="1" t="s">
        <v>32</v>
      </c>
      <c r="C8" s="1" t="s">
        <v>32</v>
      </c>
      <c r="D8" s="1" t="s">
        <v>95</v>
      </c>
      <c r="E8" s="1" t="s">
        <v>96</v>
      </c>
      <c r="F8" s="1" t="s">
        <v>97</v>
      </c>
      <c r="G8" s="1" t="s">
        <v>18</v>
      </c>
    </row>
    <row r="9" spans="1:7" ht="15.75" customHeight="1" x14ac:dyDescent="0.15">
      <c r="A9" s="1" t="s">
        <v>8</v>
      </c>
      <c r="B9" s="1" t="s">
        <v>32</v>
      </c>
      <c r="C9" s="1" t="s">
        <v>32</v>
      </c>
      <c r="D9" s="1" t="s">
        <v>95</v>
      </c>
      <c r="E9" s="1" t="s">
        <v>98</v>
      </c>
      <c r="F9" s="1" t="s">
        <v>97</v>
      </c>
      <c r="G9" s="1" t="s">
        <v>18</v>
      </c>
    </row>
    <row r="10" spans="1:7" ht="15.75" customHeight="1" x14ac:dyDescent="0.15">
      <c r="A10" s="1" t="s">
        <v>21</v>
      </c>
      <c r="B10" s="1" t="s">
        <v>38</v>
      </c>
      <c r="C10" s="1" t="s">
        <v>32</v>
      </c>
      <c r="D10" s="1" t="s">
        <v>11</v>
      </c>
      <c r="E10" s="1" t="s">
        <v>9</v>
      </c>
      <c r="F10" s="1" t="s">
        <v>23</v>
      </c>
      <c r="G10" s="1" t="s">
        <v>12</v>
      </c>
    </row>
    <row r="11" spans="1:7" ht="15.75" customHeight="1" x14ac:dyDescent="0.15">
      <c r="A11" s="1" t="s">
        <v>21</v>
      </c>
      <c r="B11" s="1" t="s">
        <v>32</v>
      </c>
      <c r="C11" s="1" t="s">
        <v>38</v>
      </c>
      <c r="D11" s="1" t="s">
        <v>9</v>
      </c>
      <c r="E11" s="1" t="s">
        <v>9</v>
      </c>
      <c r="F11" s="1" t="s">
        <v>23</v>
      </c>
      <c r="G11" s="1" t="s">
        <v>12</v>
      </c>
    </row>
    <row r="12" spans="1:7" ht="15.75" customHeight="1" x14ac:dyDescent="0.15">
      <c r="A12" s="1" t="s">
        <v>26</v>
      </c>
      <c r="B12" s="1" t="s">
        <v>32</v>
      </c>
      <c r="C12" s="1" t="s">
        <v>32</v>
      </c>
      <c r="D12" s="1">
        <v>1</v>
      </c>
      <c r="E12" s="1" t="s">
        <v>96</v>
      </c>
      <c r="F12" s="1" t="s">
        <v>97</v>
      </c>
      <c r="G12" s="1" t="s">
        <v>18</v>
      </c>
    </row>
    <row r="13" spans="1:7" ht="15.75" customHeight="1" x14ac:dyDescent="0.15">
      <c r="A13" s="1" t="s">
        <v>26</v>
      </c>
      <c r="B13" s="1" t="s">
        <v>32</v>
      </c>
      <c r="C13" s="1" t="s">
        <v>32</v>
      </c>
      <c r="D13" s="1" t="s">
        <v>99</v>
      </c>
      <c r="E13" s="1" t="s">
        <v>100</v>
      </c>
      <c r="F13" s="1">
        <v>1</v>
      </c>
      <c r="G13" s="1" t="s">
        <v>12</v>
      </c>
    </row>
    <row r="14" spans="1:7" ht="15.75" customHeight="1" x14ac:dyDescent="0.15">
      <c r="G14" s="2">
        <f>COUNTIF(G2:G13, "Yes")/COUNTA(G2:G13)</f>
        <v>0.33333333333333331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</sheetPr>
  <dimension ref="A1:F7"/>
  <sheetViews>
    <sheetView workbookViewId="0"/>
  </sheetViews>
  <sheetFormatPr baseColWidth="10" defaultColWidth="12.6640625" defaultRowHeight="15.75" customHeight="1" x14ac:dyDescent="0.15"/>
  <sheetData>
    <row r="1" spans="1:6" ht="15.75" customHeight="1" x14ac:dyDescent="0.15">
      <c r="A1" s="1" t="s">
        <v>0</v>
      </c>
      <c r="B1" s="1" t="s">
        <v>1</v>
      </c>
      <c r="C1" s="1" t="s">
        <v>4</v>
      </c>
      <c r="D1" s="1" t="s">
        <v>101</v>
      </c>
      <c r="E1" s="1" t="s">
        <v>6</v>
      </c>
      <c r="F1" s="1" t="s">
        <v>7</v>
      </c>
    </row>
    <row r="2" spans="1:6" ht="15.75" customHeight="1" x14ac:dyDescent="0.15">
      <c r="A2" s="1" t="s">
        <v>8</v>
      </c>
      <c r="B2" s="1" t="s">
        <v>14</v>
      </c>
      <c r="C2" s="1" t="s">
        <v>12</v>
      </c>
      <c r="D2" s="1" t="s">
        <v>102</v>
      </c>
      <c r="E2" s="1" t="s">
        <v>103</v>
      </c>
      <c r="F2" s="1" t="s">
        <v>18</v>
      </c>
    </row>
    <row r="3" spans="1:6" ht="15.75" customHeight="1" x14ac:dyDescent="0.15">
      <c r="A3" s="1" t="s">
        <v>8</v>
      </c>
      <c r="B3" s="1" t="s">
        <v>14</v>
      </c>
      <c r="C3" s="1" t="s">
        <v>102</v>
      </c>
      <c r="D3" s="1" t="s">
        <v>104</v>
      </c>
      <c r="E3" s="1" t="s">
        <v>105</v>
      </c>
      <c r="F3" s="1" t="s">
        <v>18</v>
      </c>
    </row>
    <row r="4" spans="1:6" ht="15.75" customHeight="1" x14ac:dyDescent="0.15">
      <c r="A4" s="1" t="s">
        <v>8</v>
      </c>
      <c r="B4" s="1" t="s">
        <v>14</v>
      </c>
      <c r="C4" s="1" t="s">
        <v>11</v>
      </c>
      <c r="D4" s="1" t="s">
        <v>106</v>
      </c>
      <c r="E4" s="1" t="s">
        <v>107</v>
      </c>
      <c r="F4" s="1" t="s">
        <v>12</v>
      </c>
    </row>
    <row r="5" spans="1:6" ht="15.75" customHeight="1" x14ac:dyDescent="0.15">
      <c r="A5" s="1" t="s">
        <v>21</v>
      </c>
      <c r="B5" s="1" t="s">
        <v>108</v>
      </c>
      <c r="C5" s="1" t="s">
        <v>109</v>
      </c>
      <c r="D5" s="1" t="s">
        <v>109</v>
      </c>
      <c r="E5" s="1" t="s">
        <v>23</v>
      </c>
      <c r="F5" s="1" t="s">
        <v>12</v>
      </c>
    </row>
    <row r="6" spans="1:6" ht="15.75" customHeight="1" x14ac:dyDescent="0.15">
      <c r="A6" s="1" t="s">
        <v>26</v>
      </c>
      <c r="B6" s="1">
        <v>2</v>
      </c>
      <c r="C6" s="1" t="s">
        <v>11</v>
      </c>
      <c r="D6" s="1" t="s">
        <v>104</v>
      </c>
      <c r="E6" s="1" t="s">
        <v>110</v>
      </c>
      <c r="F6" s="1" t="s">
        <v>12</v>
      </c>
    </row>
    <row r="7" spans="1:6" ht="15.75" customHeight="1" x14ac:dyDescent="0.15">
      <c r="F7" s="2">
        <f>COUNTIF(F2:F6, "Yes")/COUNTA(F2:F6)</f>
        <v>0.4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 summaryRight="0"/>
  </sheetPr>
  <dimension ref="A1:E8"/>
  <sheetViews>
    <sheetView workbookViewId="0"/>
  </sheetViews>
  <sheetFormatPr baseColWidth="10" defaultColWidth="12.6640625" defaultRowHeight="15.75" customHeight="1" x14ac:dyDescent="0.15"/>
  <sheetData>
    <row r="1" spans="1:5" ht="15.75" customHeight="1" x14ac:dyDescent="0.15">
      <c r="A1" s="1" t="s">
        <v>0</v>
      </c>
      <c r="B1" s="1" t="s">
        <v>111</v>
      </c>
      <c r="C1" s="1" t="s">
        <v>112</v>
      </c>
      <c r="D1" s="1" t="s">
        <v>6</v>
      </c>
      <c r="E1" s="1" t="s">
        <v>7</v>
      </c>
    </row>
    <row r="2" spans="1:5" ht="15.75" customHeight="1" x14ac:dyDescent="0.15">
      <c r="A2" s="1" t="s">
        <v>8</v>
      </c>
      <c r="B2" s="1" t="s">
        <v>45</v>
      </c>
      <c r="C2" s="1" t="s">
        <v>113</v>
      </c>
      <c r="D2" s="1" t="s">
        <v>46</v>
      </c>
      <c r="E2" s="1" t="s">
        <v>18</v>
      </c>
    </row>
    <row r="3" spans="1:5" ht="15.75" customHeight="1" x14ac:dyDescent="0.15">
      <c r="A3" s="1" t="s">
        <v>8</v>
      </c>
      <c r="B3" s="1" t="s">
        <v>45</v>
      </c>
      <c r="C3" s="1" t="s">
        <v>114</v>
      </c>
      <c r="D3" s="1" t="s">
        <v>46</v>
      </c>
      <c r="E3" s="1" t="s">
        <v>18</v>
      </c>
    </row>
    <row r="4" spans="1:5" ht="15.75" customHeight="1" x14ac:dyDescent="0.15">
      <c r="A4" s="1" t="s">
        <v>8</v>
      </c>
      <c r="B4" s="1" t="s">
        <v>45</v>
      </c>
      <c r="C4" s="1" t="s">
        <v>115</v>
      </c>
      <c r="D4" s="1" t="s">
        <v>116</v>
      </c>
      <c r="E4" s="1" t="s">
        <v>12</v>
      </c>
    </row>
    <row r="5" spans="1:5" ht="15.75" customHeight="1" x14ac:dyDescent="0.15">
      <c r="A5" s="1" t="s">
        <v>21</v>
      </c>
      <c r="B5" s="1" t="s">
        <v>47</v>
      </c>
      <c r="D5" s="1" t="s">
        <v>23</v>
      </c>
      <c r="E5" s="1" t="s">
        <v>12</v>
      </c>
    </row>
    <row r="6" spans="1:5" ht="15.75" customHeight="1" x14ac:dyDescent="0.15">
      <c r="A6" s="1" t="s">
        <v>26</v>
      </c>
      <c r="B6" s="1" t="s">
        <v>45</v>
      </c>
      <c r="C6" s="1">
        <v>1</v>
      </c>
      <c r="D6" s="1" t="s">
        <v>48</v>
      </c>
      <c r="E6" s="1" t="s">
        <v>12</v>
      </c>
    </row>
    <row r="7" spans="1:5" ht="15.75" customHeight="1" x14ac:dyDescent="0.15">
      <c r="A7" s="1" t="s">
        <v>26</v>
      </c>
      <c r="B7" s="1" t="s">
        <v>45</v>
      </c>
      <c r="C7" s="1">
        <v>2</v>
      </c>
      <c r="D7" s="1" t="s">
        <v>117</v>
      </c>
      <c r="E7" s="1" t="s">
        <v>18</v>
      </c>
    </row>
    <row r="8" spans="1:5" ht="15.75" customHeight="1" x14ac:dyDescent="0.15">
      <c r="E8" s="2">
        <f>COUNTIF(E2:E7, "Yes")/COUNTA(E2:E7)</f>
        <v>0.5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outlinePr summaryBelow="0" summaryRight="0"/>
  </sheetPr>
  <dimension ref="A1:G11"/>
  <sheetViews>
    <sheetView workbookViewId="0"/>
  </sheetViews>
  <sheetFormatPr baseColWidth="10" defaultColWidth="12.6640625" defaultRowHeight="15.75" customHeight="1" x14ac:dyDescent="0.15"/>
  <sheetData>
    <row r="1" spans="1:7" ht="15.75" customHeight="1" x14ac:dyDescent="0.15">
      <c r="A1" s="1" t="s">
        <v>0</v>
      </c>
      <c r="B1" s="1" t="s">
        <v>1</v>
      </c>
      <c r="C1" s="1" t="s">
        <v>118</v>
      </c>
      <c r="D1" s="1" t="s">
        <v>119</v>
      </c>
      <c r="E1" s="1" t="s">
        <v>120</v>
      </c>
      <c r="F1" s="1" t="s">
        <v>6</v>
      </c>
      <c r="G1" s="1" t="s">
        <v>7</v>
      </c>
    </row>
    <row r="2" spans="1:7" ht="15.75" customHeight="1" x14ac:dyDescent="0.15">
      <c r="A2" s="1" t="s">
        <v>8</v>
      </c>
      <c r="B2" s="1" t="s">
        <v>31</v>
      </c>
      <c r="C2" s="1" t="s">
        <v>32</v>
      </c>
      <c r="D2" s="1" t="s">
        <v>109</v>
      </c>
      <c r="E2" s="1" t="s">
        <v>11</v>
      </c>
      <c r="F2" s="1" t="s">
        <v>48</v>
      </c>
      <c r="G2" s="1" t="s">
        <v>18</v>
      </c>
    </row>
    <row r="3" spans="1:7" ht="15.75" customHeight="1" x14ac:dyDescent="0.15">
      <c r="A3" s="1" t="s">
        <v>8</v>
      </c>
      <c r="B3" s="1" t="s">
        <v>32</v>
      </c>
      <c r="C3" s="1" t="s">
        <v>121</v>
      </c>
      <c r="D3" s="1" t="s">
        <v>122</v>
      </c>
      <c r="E3" s="1" t="s">
        <v>11</v>
      </c>
      <c r="F3" s="1" t="s">
        <v>123</v>
      </c>
      <c r="G3" s="1" t="s">
        <v>12</v>
      </c>
    </row>
    <row r="4" spans="1:7" ht="15.75" customHeight="1" x14ac:dyDescent="0.15">
      <c r="A4" s="1" t="s">
        <v>8</v>
      </c>
      <c r="B4" s="1" t="s">
        <v>32</v>
      </c>
      <c r="C4" s="1" t="s">
        <v>32</v>
      </c>
      <c r="D4" s="1" t="s">
        <v>124</v>
      </c>
      <c r="E4" s="1" t="s">
        <v>125</v>
      </c>
      <c r="F4" s="1" t="s">
        <v>48</v>
      </c>
      <c r="G4" s="1" t="s">
        <v>12</v>
      </c>
    </row>
    <row r="5" spans="1:7" ht="15.75" customHeight="1" x14ac:dyDescent="0.15">
      <c r="A5" s="1" t="s">
        <v>8</v>
      </c>
      <c r="B5" s="1" t="s">
        <v>32</v>
      </c>
      <c r="C5" s="1" t="s">
        <v>32</v>
      </c>
      <c r="D5" s="1" t="s">
        <v>126</v>
      </c>
      <c r="E5" s="1" t="s">
        <v>125</v>
      </c>
      <c r="F5" s="1" t="s">
        <v>127</v>
      </c>
      <c r="G5" s="1" t="s">
        <v>18</v>
      </c>
    </row>
    <row r="6" spans="1:7" ht="15.75" customHeight="1" x14ac:dyDescent="0.15">
      <c r="A6" s="1" t="s">
        <v>8</v>
      </c>
      <c r="B6" s="1" t="s">
        <v>32</v>
      </c>
      <c r="C6" s="1" t="s">
        <v>128</v>
      </c>
      <c r="D6" s="1" t="s">
        <v>109</v>
      </c>
      <c r="E6" s="1" t="s">
        <v>125</v>
      </c>
      <c r="F6" s="1" t="s">
        <v>48</v>
      </c>
      <c r="G6" s="1" t="s">
        <v>12</v>
      </c>
    </row>
    <row r="7" spans="1:7" ht="15.75" customHeight="1" x14ac:dyDescent="0.15">
      <c r="A7" s="1" t="s">
        <v>8</v>
      </c>
      <c r="B7" s="1" t="s">
        <v>32</v>
      </c>
      <c r="C7" s="1" t="s">
        <v>32</v>
      </c>
      <c r="D7" s="1" t="s">
        <v>126</v>
      </c>
      <c r="E7" s="1" t="s">
        <v>129</v>
      </c>
      <c r="F7" s="1" t="s">
        <v>130</v>
      </c>
      <c r="G7" s="1" t="s">
        <v>12</v>
      </c>
    </row>
    <row r="8" spans="1:7" ht="15.75" customHeight="1" x14ac:dyDescent="0.15">
      <c r="A8" s="1" t="s">
        <v>21</v>
      </c>
      <c r="B8" s="1" t="s">
        <v>131</v>
      </c>
      <c r="C8" s="1" t="s">
        <v>28</v>
      </c>
      <c r="D8" s="1" t="s">
        <v>9</v>
      </c>
      <c r="E8" s="1" t="s">
        <v>9</v>
      </c>
      <c r="F8" s="1" t="s">
        <v>23</v>
      </c>
      <c r="G8" s="1" t="s">
        <v>12</v>
      </c>
    </row>
    <row r="9" spans="1:7" ht="15.75" customHeight="1" x14ac:dyDescent="0.15">
      <c r="A9" s="1" t="s">
        <v>21</v>
      </c>
      <c r="B9" s="1" t="s">
        <v>132</v>
      </c>
      <c r="C9" s="1" t="s">
        <v>38</v>
      </c>
      <c r="D9" s="1" t="s">
        <v>9</v>
      </c>
      <c r="E9" s="1" t="s">
        <v>9</v>
      </c>
      <c r="F9" s="1" t="s">
        <v>23</v>
      </c>
      <c r="G9" s="1" t="s">
        <v>12</v>
      </c>
    </row>
    <row r="10" spans="1:7" ht="15.75" customHeight="1" x14ac:dyDescent="0.15">
      <c r="A10" s="1" t="s">
        <v>26</v>
      </c>
      <c r="B10" s="3" t="s">
        <v>32</v>
      </c>
      <c r="C10" s="3" t="s">
        <v>133</v>
      </c>
      <c r="D10" s="3" t="s">
        <v>134</v>
      </c>
      <c r="E10" s="3" t="s">
        <v>125</v>
      </c>
      <c r="F10" s="3" t="s">
        <v>135</v>
      </c>
      <c r="G10" s="1" t="s">
        <v>18</v>
      </c>
    </row>
    <row r="11" spans="1:7" ht="15.75" customHeight="1" x14ac:dyDescent="0.15">
      <c r="G11" s="2">
        <f>COUNTIF(G2:G10, "Yes")/COUNTA(G2:G10)</f>
        <v>0.33333333333333331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outlinePr summaryBelow="0" summaryRight="0"/>
  </sheetPr>
  <dimension ref="A1:H12"/>
  <sheetViews>
    <sheetView workbookViewId="0"/>
  </sheetViews>
  <sheetFormatPr baseColWidth="10" defaultColWidth="12.6640625" defaultRowHeight="15.75" customHeight="1" x14ac:dyDescent="0.15"/>
  <sheetData>
    <row r="1" spans="1:8" ht="15.75" customHeight="1" x14ac:dyDescent="0.15">
      <c r="A1" s="1" t="s">
        <v>0</v>
      </c>
      <c r="B1" s="1" t="s">
        <v>136</v>
      </c>
      <c r="C1" s="1" t="s">
        <v>137</v>
      </c>
      <c r="D1" s="1" t="s">
        <v>138</v>
      </c>
      <c r="E1" s="1" t="s">
        <v>139</v>
      </c>
      <c r="F1" s="1" t="s">
        <v>140</v>
      </c>
      <c r="G1" s="1" t="s">
        <v>6</v>
      </c>
      <c r="H1" s="1" t="s">
        <v>7</v>
      </c>
    </row>
    <row r="2" spans="1:8" ht="15.75" customHeight="1" x14ac:dyDescent="0.15">
      <c r="A2" s="1" t="s">
        <v>8</v>
      </c>
      <c r="B2" s="1">
        <v>1</v>
      </c>
      <c r="C2" s="1" t="s">
        <v>141</v>
      </c>
      <c r="D2" s="1" t="s">
        <v>142</v>
      </c>
      <c r="E2" s="1" t="s">
        <v>43</v>
      </c>
      <c r="F2" s="1" t="s">
        <v>9</v>
      </c>
      <c r="G2" s="1" t="s">
        <v>143</v>
      </c>
      <c r="H2" s="1" t="s">
        <v>18</v>
      </c>
    </row>
    <row r="3" spans="1:8" ht="15.75" customHeight="1" x14ac:dyDescent="0.15">
      <c r="A3" s="1" t="s">
        <v>8</v>
      </c>
      <c r="B3" s="1" t="s">
        <v>144</v>
      </c>
      <c r="C3" s="1">
        <v>1</v>
      </c>
      <c r="D3" s="1" t="s">
        <v>142</v>
      </c>
      <c r="E3" s="1" t="s">
        <v>43</v>
      </c>
      <c r="F3" s="1" t="s">
        <v>12</v>
      </c>
      <c r="G3" s="1" t="s">
        <v>143</v>
      </c>
      <c r="H3" s="1" t="s">
        <v>12</v>
      </c>
    </row>
    <row r="4" spans="1:8" ht="15.75" customHeight="1" x14ac:dyDescent="0.15">
      <c r="A4" s="1" t="s">
        <v>8</v>
      </c>
      <c r="B4" s="1" t="s">
        <v>144</v>
      </c>
      <c r="C4" s="1" t="s">
        <v>14</v>
      </c>
      <c r="D4" s="1" t="s">
        <v>12</v>
      </c>
      <c r="E4" s="1" t="s">
        <v>43</v>
      </c>
      <c r="F4" s="1" t="s">
        <v>12</v>
      </c>
      <c r="G4" s="1" t="s">
        <v>145</v>
      </c>
      <c r="H4" s="1" t="s">
        <v>18</v>
      </c>
    </row>
    <row r="5" spans="1:8" ht="15.75" customHeight="1" x14ac:dyDescent="0.15">
      <c r="A5" s="1" t="s">
        <v>8</v>
      </c>
      <c r="B5" s="1" t="s">
        <v>144</v>
      </c>
      <c r="C5" s="1" t="s">
        <v>14</v>
      </c>
      <c r="D5" s="1" t="s">
        <v>18</v>
      </c>
      <c r="E5" s="1" t="s">
        <v>43</v>
      </c>
      <c r="F5" s="1" t="s">
        <v>12</v>
      </c>
      <c r="G5" s="1" t="s">
        <v>145</v>
      </c>
      <c r="H5" s="1" t="s">
        <v>12</v>
      </c>
    </row>
    <row r="6" spans="1:8" ht="15.75" customHeight="1" x14ac:dyDescent="0.15">
      <c r="A6" s="1" t="s">
        <v>8</v>
      </c>
      <c r="B6" s="1" t="s">
        <v>144</v>
      </c>
      <c r="C6" s="1" t="s">
        <v>14</v>
      </c>
      <c r="D6" s="1" t="s">
        <v>12</v>
      </c>
      <c r="E6" s="1" t="s">
        <v>146</v>
      </c>
      <c r="F6" s="1" t="s">
        <v>12</v>
      </c>
      <c r="G6" s="1" t="s">
        <v>145</v>
      </c>
      <c r="H6" s="1" t="s">
        <v>12</v>
      </c>
    </row>
    <row r="7" spans="1:8" ht="15.75" customHeight="1" x14ac:dyDescent="0.15">
      <c r="A7" s="1" t="s">
        <v>8</v>
      </c>
      <c r="B7" s="1" t="s">
        <v>144</v>
      </c>
      <c r="C7" s="1" t="s">
        <v>14</v>
      </c>
      <c r="D7" s="1" t="s">
        <v>12</v>
      </c>
      <c r="E7" s="1" t="s">
        <v>147</v>
      </c>
      <c r="F7" s="1" t="s">
        <v>12</v>
      </c>
      <c r="G7" s="1" t="s">
        <v>145</v>
      </c>
      <c r="H7" s="1" t="s">
        <v>12</v>
      </c>
    </row>
    <row r="8" spans="1:8" ht="15.75" customHeight="1" x14ac:dyDescent="0.15">
      <c r="A8" s="1" t="s">
        <v>8</v>
      </c>
      <c r="B8" s="1" t="s">
        <v>144</v>
      </c>
      <c r="C8" s="1" t="s">
        <v>14</v>
      </c>
      <c r="D8" s="1" t="s">
        <v>12</v>
      </c>
      <c r="E8" s="1" t="s">
        <v>43</v>
      </c>
      <c r="F8" s="1" t="s">
        <v>18</v>
      </c>
      <c r="G8" s="1" t="s">
        <v>145</v>
      </c>
      <c r="H8" s="1" t="s">
        <v>12</v>
      </c>
    </row>
    <row r="9" spans="1:8" ht="15.75" customHeight="1" x14ac:dyDescent="0.15">
      <c r="A9" s="1" t="s">
        <v>21</v>
      </c>
      <c r="B9" s="1" t="s">
        <v>148</v>
      </c>
      <c r="C9" s="1" t="s">
        <v>11</v>
      </c>
      <c r="D9" s="1" t="s">
        <v>11</v>
      </c>
      <c r="E9" s="1" t="s">
        <v>11</v>
      </c>
      <c r="F9" s="1" t="s">
        <v>11</v>
      </c>
      <c r="G9" s="1" t="s">
        <v>23</v>
      </c>
      <c r="H9" s="1" t="s">
        <v>12</v>
      </c>
    </row>
    <row r="10" spans="1:8" ht="15.75" customHeight="1" x14ac:dyDescent="0.15">
      <c r="A10" s="1" t="s">
        <v>21</v>
      </c>
      <c r="B10" s="1" t="s">
        <v>144</v>
      </c>
      <c r="C10" s="1" t="s">
        <v>149</v>
      </c>
      <c r="D10" s="1" t="s">
        <v>9</v>
      </c>
      <c r="E10" s="1" t="s">
        <v>150</v>
      </c>
      <c r="F10" s="1" t="s">
        <v>9</v>
      </c>
      <c r="G10" s="1" t="s">
        <v>23</v>
      </c>
      <c r="H10" s="1" t="s">
        <v>12</v>
      </c>
    </row>
    <row r="11" spans="1:8" ht="15.75" customHeight="1" x14ac:dyDescent="0.15">
      <c r="A11" s="1" t="s">
        <v>26</v>
      </c>
      <c r="B11" s="1" t="s">
        <v>144</v>
      </c>
      <c r="C11" s="1" t="s">
        <v>151</v>
      </c>
      <c r="D11" s="1" t="s">
        <v>12</v>
      </c>
      <c r="E11" s="1" t="s">
        <v>43</v>
      </c>
      <c r="F11" s="1" t="s">
        <v>12</v>
      </c>
      <c r="G11" s="1" t="s">
        <v>145</v>
      </c>
      <c r="H11" s="1" t="s">
        <v>12</v>
      </c>
    </row>
    <row r="12" spans="1:8" ht="15.75" customHeight="1" x14ac:dyDescent="0.15">
      <c r="H12" s="2">
        <f>COUNTIF(H2:H11,"Yes")/COUNTA(H2:H11)</f>
        <v>0.2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outlinePr summaryBelow="0" summaryRight="0"/>
  </sheetPr>
  <dimension ref="A1:G10"/>
  <sheetViews>
    <sheetView workbookViewId="0"/>
  </sheetViews>
  <sheetFormatPr baseColWidth="10" defaultColWidth="12.6640625" defaultRowHeight="15.75" customHeight="1" x14ac:dyDescent="0.15"/>
  <sheetData>
    <row r="1" spans="1:7" ht="15.75" customHeight="1" x14ac:dyDescent="0.15">
      <c r="A1" s="1" t="s">
        <v>0</v>
      </c>
      <c r="B1" s="1" t="s">
        <v>1</v>
      </c>
      <c r="C1" s="1" t="s">
        <v>152</v>
      </c>
      <c r="D1" s="1" t="s">
        <v>4</v>
      </c>
      <c r="E1" s="1" t="s">
        <v>153</v>
      </c>
      <c r="F1" s="1" t="s">
        <v>6</v>
      </c>
      <c r="G1" s="1" t="s">
        <v>7</v>
      </c>
    </row>
    <row r="2" spans="1:7" ht="15.75" customHeight="1" x14ac:dyDescent="0.15">
      <c r="A2" s="1" t="s">
        <v>8</v>
      </c>
      <c r="B2" s="1" t="s">
        <v>154</v>
      </c>
      <c r="C2" s="1" t="s">
        <v>109</v>
      </c>
      <c r="D2" s="1" t="s">
        <v>12</v>
      </c>
      <c r="E2" s="1" t="s">
        <v>53</v>
      </c>
      <c r="F2" s="1" t="b">
        <v>0</v>
      </c>
      <c r="G2" s="1" t="s">
        <v>18</v>
      </c>
    </row>
    <row r="3" spans="1:7" ht="15.75" customHeight="1" x14ac:dyDescent="0.15">
      <c r="A3" s="1" t="s">
        <v>8</v>
      </c>
      <c r="B3" s="1" t="s">
        <v>154</v>
      </c>
      <c r="C3" s="1" t="s">
        <v>109</v>
      </c>
      <c r="D3" s="1" t="s">
        <v>12</v>
      </c>
      <c r="E3" s="1" t="s">
        <v>155</v>
      </c>
      <c r="F3" s="1" t="b">
        <v>0</v>
      </c>
      <c r="G3" s="1" t="s">
        <v>12</v>
      </c>
    </row>
    <row r="4" spans="1:7" ht="15.75" customHeight="1" x14ac:dyDescent="0.15">
      <c r="A4" s="1" t="s">
        <v>8</v>
      </c>
      <c r="B4" s="1" t="s">
        <v>154</v>
      </c>
      <c r="C4" s="1" t="s">
        <v>18</v>
      </c>
      <c r="D4" s="1" t="s">
        <v>12</v>
      </c>
      <c r="E4" s="1" t="s">
        <v>129</v>
      </c>
      <c r="F4" s="1" t="b">
        <v>1</v>
      </c>
      <c r="G4" s="1" t="s">
        <v>18</v>
      </c>
    </row>
    <row r="5" spans="1:7" ht="15.75" customHeight="1" x14ac:dyDescent="0.15">
      <c r="A5" s="1" t="s">
        <v>8</v>
      </c>
      <c r="B5" s="1" t="s">
        <v>154</v>
      </c>
      <c r="C5" s="1" t="s">
        <v>12</v>
      </c>
      <c r="D5" s="1" t="s">
        <v>12</v>
      </c>
      <c r="E5" s="1" t="s">
        <v>129</v>
      </c>
      <c r="F5" s="1" t="b">
        <v>0</v>
      </c>
      <c r="G5" s="1" t="s">
        <v>18</v>
      </c>
    </row>
    <row r="6" spans="1:7" ht="15.75" customHeight="1" x14ac:dyDescent="0.15">
      <c r="A6" s="1" t="s">
        <v>8</v>
      </c>
      <c r="B6" s="1" t="s">
        <v>154</v>
      </c>
      <c r="C6" s="1" t="s">
        <v>12</v>
      </c>
      <c r="D6" s="1" t="s">
        <v>18</v>
      </c>
      <c r="E6" s="1" t="s">
        <v>129</v>
      </c>
      <c r="F6" s="1" t="b">
        <v>0</v>
      </c>
      <c r="G6" s="1" t="s">
        <v>12</v>
      </c>
    </row>
    <row r="7" spans="1:7" ht="15.75" customHeight="1" x14ac:dyDescent="0.15">
      <c r="A7" s="1" t="s">
        <v>21</v>
      </c>
      <c r="B7" s="1" t="s">
        <v>11</v>
      </c>
      <c r="C7" s="1" t="s">
        <v>9</v>
      </c>
      <c r="D7" s="1" t="s">
        <v>11</v>
      </c>
      <c r="E7" s="1" t="s">
        <v>47</v>
      </c>
      <c r="F7" s="1" t="s">
        <v>23</v>
      </c>
      <c r="G7" s="1" t="s">
        <v>12</v>
      </c>
    </row>
    <row r="8" spans="1:7" ht="15.75" customHeight="1" x14ac:dyDescent="0.15">
      <c r="A8" s="1" t="s">
        <v>26</v>
      </c>
      <c r="B8" s="1" t="s">
        <v>156</v>
      </c>
      <c r="C8" s="1" t="s">
        <v>109</v>
      </c>
      <c r="D8" s="1" t="s">
        <v>11</v>
      </c>
      <c r="E8" s="1" t="s">
        <v>11</v>
      </c>
      <c r="F8" s="1" t="b">
        <v>0</v>
      </c>
      <c r="G8" s="1" t="s">
        <v>12</v>
      </c>
    </row>
    <row r="9" spans="1:7" ht="15.75" customHeight="1" x14ac:dyDescent="0.15">
      <c r="A9" s="1" t="s">
        <v>26</v>
      </c>
      <c r="B9" s="1" t="s">
        <v>154</v>
      </c>
      <c r="C9" s="1" t="s">
        <v>157</v>
      </c>
      <c r="D9" s="1" t="s">
        <v>157</v>
      </c>
      <c r="E9" s="1" t="s">
        <v>150</v>
      </c>
      <c r="F9" s="1" t="b">
        <v>1</v>
      </c>
      <c r="G9" s="1" t="s">
        <v>12</v>
      </c>
    </row>
    <row r="10" spans="1:7" ht="15.75" customHeight="1" x14ac:dyDescent="0.15">
      <c r="G10" s="2">
        <f>COUNTIF(G2:G9, "Yes")/COUNTA(G2:G9)</f>
        <v>0.375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A593DA-B4E3-4349-9AE3-137E67A4A1FB}">
  <dimension ref="A1:F31"/>
  <sheetViews>
    <sheetView tabSelected="1" workbookViewId="0">
      <selection activeCell="I6" sqref="I6"/>
    </sheetView>
  </sheetViews>
  <sheetFormatPr baseColWidth="10" defaultRowHeight="13" x14ac:dyDescent="0.15"/>
  <cols>
    <col min="3" max="3" width="12.33203125" customWidth="1"/>
  </cols>
  <sheetData>
    <row r="1" spans="1:6" ht="18" x14ac:dyDescent="0.2">
      <c r="A1" s="6" t="s">
        <v>358</v>
      </c>
      <c r="B1" s="6" t="s">
        <v>159</v>
      </c>
      <c r="C1" s="6" t="s">
        <v>359</v>
      </c>
      <c r="D1" s="6" t="s">
        <v>360</v>
      </c>
      <c r="F1" t="s">
        <v>438</v>
      </c>
    </row>
    <row r="2" spans="1:6" ht="18" x14ac:dyDescent="0.2">
      <c r="A2" s="7" t="s">
        <v>361</v>
      </c>
      <c r="B2" s="7" t="s">
        <v>391</v>
      </c>
      <c r="C2" s="7" t="s">
        <v>392</v>
      </c>
      <c r="D2" s="7">
        <v>4</v>
      </c>
      <c r="F2" t="s">
        <v>439</v>
      </c>
    </row>
    <row r="3" spans="1:6" ht="18" x14ac:dyDescent="0.2">
      <c r="A3" s="7" t="s">
        <v>362</v>
      </c>
      <c r="B3" s="7" t="s">
        <v>393</v>
      </c>
      <c r="C3" s="7" t="s">
        <v>394</v>
      </c>
      <c r="D3" s="7">
        <v>8</v>
      </c>
      <c r="F3" t="s">
        <v>440</v>
      </c>
    </row>
    <row r="4" spans="1:6" ht="18" x14ac:dyDescent="0.2">
      <c r="A4" s="7" t="s">
        <v>363</v>
      </c>
      <c r="B4" s="7" t="s">
        <v>395</v>
      </c>
      <c r="C4" s="7" t="s">
        <v>396</v>
      </c>
      <c r="D4" s="7">
        <v>3</v>
      </c>
      <c r="F4" t="s">
        <v>441</v>
      </c>
    </row>
    <row r="5" spans="1:6" ht="18" x14ac:dyDescent="0.2">
      <c r="A5" s="7" t="s">
        <v>364</v>
      </c>
      <c r="B5" s="7" t="s">
        <v>397</v>
      </c>
      <c r="C5" s="7" t="s">
        <v>398</v>
      </c>
      <c r="D5" s="7">
        <v>3</v>
      </c>
      <c r="F5" t="s">
        <v>442</v>
      </c>
    </row>
    <row r="6" spans="1:6" ht="18" x14ac:dyDescent="0.2">
      <c r="A6" s="7" t="s">
        <v>365</v>
      </c>
      <c r="B6" s="7" t="s">
        <v>399</v>
      </c>
      <c r="C6" s="7" t="s">
        <v>400</v>
      </c>
      <c r="D6" s="7">
        <v>10</v>
      </c>
    </row>
    <row r="7" spans="1:6" ht="18" x14ac:dyDescent="0.2">
      <c r="A7" s="7" t="s">
        <v>366</v>
      </c>
      <c r="B7" s="7" t="s">
        <v>401</v>
      </c>
      <c r="C7" s="7" t="s">
        <v>402</v>
      </c>
      <c r="D7" s="7">
        <v>2</v>
      </c>
    </row>
    <row r="8" spans="1:6" ht="18" x14ac:dyDescent="0.2">
      <c r="A8" s="7" t="s">
        <v>367</v>
      </c>
      <c r="B8" s="7" t="s">
        <v>403</v>
      </c>
      <c r="C8" s="7" t="s">
        <v>404</v>
      </c>
      <c r="D8" s="7">
        <v>3</v>
      </c>
    </row>
    <row r="9" spans="1:6" ht="18" x14ac:dyDescent="0.2">
      <c r="A9" s="7" t="s">
        <v>368</v>
      </c>
      <c r="B9" s="7" t="s">
        <v>405</v>
      </c>
      <c r="C9" s="7" t="s">
        <v>402</v>
      </c>
      <c r="D9" s="7">
        <v>3</v>
      </c>
    </row>
    <row r="10" spans="1:6" ht="18" x14ac:dyDescent="0.2">
      <c r="A10" s="7" t="s">
        <v>369</v>
      </c>
      <c r="B10" s="7" t="s">
        <v>406</v>
      </c>
      <c r="C10" s="7" t="s">
        <v>407</v>
      </c>
      <c r="D10" s="7">
        <v>1</v>
      </c>
    </row>
    <row r="11" spans="1:6" ht="18" x14ac:dyDescent="0.2">
      <c r="A11" s="7" t="s">
        <v>370</v>
      </c>
      <c r="B11" s="7" t="s">
        <v>391</v>
      </c>
      <c r="C11" s="7" t="s">
        <v>408</v>
      </c>
      <c r="D11" s="7">
        <v>3</v>
      </c>
    </row>
    <row r="12" spans="1:6" ht="18" x14ac:dyDescent="0.2">
      <c r="A12" s="7" t="s">
        <v>371</v>
      </c>
      <c r="B12" s="7" t="s">
        <v>409</v>
      </c>
      <c r="C12" s="7" t="s">
        <v>410</v>
      </c>
      <c r="D12" s="7">
        <v>4</v>
      </c>
    </row>
    <row r="13" spans="1:6" ht="18" x14ac:dyDescent="0.2">
      <c r="A13" s="7" t="s">
        <v>372</v>
      </c>
      <c r="B13" s="7" t="s">
        <v>411</v>
      </c>
      <c r="C13" s="7" t="s">
        <v>412</v>
      </c>
      <c r="D13" s="7">
        <v>4</v>
      </c>
    </row>
    <row r="14" spans="1:6" ht="18" x14ac:dyDescent="0.2">
      <c r="A14" s="7" t="s">
        <v>373</v>
      </c>
      <c r="B14" s="7" t="s">
        <v>413</v>
      </c>
      <c r="C14" s="7" t="s">
        <v>398</v>
      </c>
      <c r="D14" s="7">
        <v>4</v>
      </c>
    </row>
    <row r="15" spans="1:6" ht="18" x14ac:dyDescent="0.2">
      <c r="A15" s="7" t="s">
        <v>374</v>
      </c>
      <c r="B15" s="7" t="s">
        <v>414</v>
      </c>
      <c r="C15" s="7" t="s">
        <v>415</v>
      </c>
      <c r="D15" s="7">
        <v>7</v>
      </c>
    </row>
    <row r="16" spans="1:6" ht="18" x14ac:dyDescent="0.2">
      <c r="A16" s="7" t="s">
        <v>375</v>
      </c>
      <c r="B16" s="7" t="s">
        <v>416</v>
      </c>
      <c r="C16" s="7" t="s">
        <v>417</v>
      </c>
      <c r="D16" s="7">
        <v>13</v>
      </c>
    </row>
    <row r="17" spans="1:4" ht="18" x14ac:dyDescent="0.2">
      <c r="A17" s="7" t="s">
        <v>376</v>
      </c>
      <c r="B17" s="7" t="s">
        <v>418</v>
      </c>
      <c r="C17" s="7" t="s">
        <v>415</v>
      </c>
      <c r="D17" s="7">
        <v>6</v>
      </c>
    </row>
    <row r="18" spans="1:4" ht="18" x14ac:dyDescent="0.2">
      <c r="A18" s="7" t="s">
        <v>377</v>
      </c>
      <c r="B18" s="7" t="s">
        <v>419</v>
      </c>
      <c r="C18" s="7" t="s">
        <v>420</v>
      </c>
      <c r="D18" s="7">
        <v>5</v>
      </c>
    </row>
    <row r="19" spans="1:4" ht="18" x14ac:dyDescent="0.2">
      <c r="A19" s="7" t="s">
        <v>378</v>
      </c>
      <c r="B19" s="7" t="s">
        <v>418</v>
      </c>
      <c r="C19" s="7" t="s">
        <v>408</v>
      </c>
      <c r="D19" s="7">
        <v>4</v>
      </c>
    </row>
    <row r="20" spans="1:4" ht="18" x14ac:dyDescent="0.2">
      <c r="A20" s="7" t="s">
        <v>379</v>
      </c>
      <c r="B20" s="7" t="s">
        <v>406</v>
      </c>
      <c r="C20" s="7" t="s">
        <v>407</v>
      </c>
      <c r="D20" s="7">
        <v>1</v>
      </c>
    </row>
    <row r="21" spans="1:4" ht="18" x14ac:dyDescent="0.2">
      <c r="A21" s="7" t="s">
        <v>380</v>
      </c>
      <c r="B21" s="7" t="s">
        <v>421</v>
      </c>
      <c r="C21" s="7" t="s">
        <v>422</v>
      </c>
      <c r="D21" s="7">
        <v>2</v>
      </c>
    </row>
    <row r="22" spans="1:4" ht="18" x14ac:dyDescent="0.2">
      <c r="A22" s="7" t="s">
        <v>381</v>
      </c>
      <c r="B22" s="7" t="s">
        <v>423</v>
      </c>
      <c r="C22" s="7" t="s">
        <v>424</v>
      </c>
      <c r="D22" s="7">
        <v>1</v>
      </c>
    </row>
    <row r="23" spans="1:4" ht="18" x14ac:dyDescent="0.2">
      <c r="A23" s="7" t="s">
        <v>382</v>
      </c>
      <c r="B23" s="7" t="s">
        <v>397</v>
      </c>
      <c r="C23" s="7" t="s">
        <v>398</v>
      </c>
      <c r="D23" s="7">
        <v>3</v>
      </c>
    </row>
    <row r="24" spans="1:4" ht="18" x14ac:dyDescent="0.2">
      <c r="A24" s="7" t="s">
        <v>383</v>
      </c>
      <c r="B24" s="7" t="s">
        <v>425</v>
      </c>
      <c r="C24" s="7" t="s">
        <v>426</v>
      </c>
      <c r="D24" s="7">
        <v>1</v>
      </c>
    </row>
    <row r="25" spans="1:4" ht="18" x14ac:dyDescent="0.2">
      <c r="A25" s="7" t="s">
        <v>384</v>
      </c>
      <c r="B25" s="7" t="s">
        <v>427</v>
      </c>
      <c r="C25" s="7" t="s">
        <v>428</v>
      </c>
      <c r="D25" s="7">
        <v>6</v>
      </c>
    </row>
    <row r="26" spans="1:4" ht="18" x14ac:dyDescent="0.2">
      <c r="A26" s="7" t="s">
        <v>385</v>
      </c>
      <c r="B26" s="7" t="s">
        <v>429</v>
      </c>
      <c r="C26" s="7" t="s">
        <v>430</v>
      </c>
      <c r="D26" s="7">
        <v>4</v>
      </c>
    </row>
    <row r="27" spans="1:4" ht="18" x14ac:dyDescent="0.2">
      <c r="A27" s="7" t="s">
        <v>386</v>
      </c>
      <c r="B27" s="7" t="s">
        <v>431</v>
      </c>
      <c r="C27" s="7" t="s">
        <v>398</v>
      </c>
      <c r="D27" s="7">
        <v>1</v>
      </c>
    </row>
    <row r="28" spans="1:4" ht="18" x14ac:dyDescent="0.2">
      <c r="A28" s="7" t="s">
        <v>387</v>
      </c>
      <c r="B28" s="7" t="s">
        <v>432</v>
      </c>
      <c r="C28" s="7" t="s">
        <v>394</v>
      </c>
      <c r="D28" s="7">
        <v>2</v>
      </c>
    </row>
    <row r="29" spans="1:4" ht="18" x14ac:dyDescent="0.2">
      <c r="A29" s="7" t="s">
        <v>388</v>
      </c>
      <c r="B29" s="7" t="s">
        <v>433</v>
      </c>
      <c r="C29" s="7" t="s">
        <v>434</v>
      </c>
      <c r="D29" s="7">
        <v>6</v>
      </c>
    </row>
    <row r="30" spans="1:4" ht="18" x14ac:dyDescent="0.2">
      <c r="A30" s="7" t="s">
        <v>389</v>
      </c>
      <c r="B30" s="7" t="s">
        <v>435</v>
      </c>
      <c r="C30" s="7" t="s">
        <v>436</v>
      </c>
      <c r="D30" s="7">
        <v>13</v>
      </c>
    </row>
    <row r="31" spans="1:4" ht="18" x14ac:dyDescent="0.2">
      <c r="A31" s="7" t="s">
        <v>390</v>
      </c>
      <c r="B31" s="7" t="s">
        <v>411</v>
      </c>
      <c r="C31" s="7" t="s">
        <v>437</v>
      </c>
      <c r="D31" s="7">
        <v>5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outlinePr summaryBelow="0" summaryRight="0"/>
  </sheetPr>
  <dimension ref="A1:E9"/>
  <sheetViews>
    <sheetView workbookViewId="0"/>
  </sheetViews>
  <sheetFormatPr baseColWidth="10" defaultColWidth="12.6640625" defaultRowHeight="15.75" customHeight="1" x14ac:dyDescent="0.15"/>
  <sheetData>
    <row r="1" spans="1:5" ht="15.75" customHeight="1" x14ac:dyDescent="0.15">
      <c r="A1" s="1" t="s">
        <v>0</v>
      </c>
      <c r="B1" s="1" t="s">
        <v>158</v>
      </c>
      <c r="C1" s="1" t="s">
        <v>159</v>
      </c>
      <c r="D1" s="1" t="s">
        <v>6</v>
      </c>
      <c r="E1" s="1" t="s">
        <v>7</v>
      </c>
    </row>
    <row r="2" spans="1:5" ht="15.75" customHeight="1" x14ac:dyDescent="0.15">
      <c r="A2" s="1" t="s">
        <v>26</v>
      </c>
      <c r="B2" s="1">
        <v>0</v>
      </c>
      <c r="C2" s="1" t="s">
        <v>8</v>
      </c>
      <c r="D2" s="1">
        <v>0</v>
      </c>
      <c r="E2" s="1" t="s">
        <v>12</v>
      </c>
    </row>
    <row r="3" spans="1:5" ht="15.75" customHeight="1" x14ac:dyDescent="0.15">
      <c r="A3" s="1" t="s">
        <v>8</v>
      </c>
      <c r="B3" s="1" t="s">
        <v>19</v>
      </c>
      <c r="C3" s="1" t="s">
        <v>8</v>
      </c>
      <c r="D3" s="1" t="s">
        <v>160</v>
      </c>
      <c r="E3" s="1" t="s">
        <v>18</v>
      </c>
    </row>
    <row r="4" spans="1:5" ht="15.75" customHeight="1" x14ac:dyDescent="0.15">
      <c r="A4" s="1" t="s">
        <v>26</v>
      </c>
      <c r="B4" s="1" t="s">
        <v>19</v>
      </c>
      <c r="C4" s="1">
        <v>2</v>
      </c>
      <c r="D4" s="1" t="s">
        <v>161</v>
      </c>
      <c r="E4" s="1" t="s">
        <v>18</v>
      </c>
    </row>
    <row r="5" spans="1:5" ht="15.75" customHeight="1" x14ac:dyDescent="0.15">
      <c r="A5" s="1" t="s">
        <v>26</v>
      </c>
      <c r="B5" s="1" t="s">
        <v>19</v>
      </c>
      <c r="C5" s="1">
        <v>10</v>
      </c>
      <c r="D5" s="1" t="s">
        <v>162</v>
      </c>
      <c r="E5" s="1" t="s">
        <v>12</v>
      </c>
    </row>
    <row r="6" spans="1:5" ht="15.75" customHeight="1" x14ac:dyDescent="0.15">
      <c r="A6" s="1" t="s">
        <v>163</v>
      </c>
      <c r="B6" s="1" t="s">
        <v>164</v>
      </c>
      <c r="C6" s="1" t="s">
        <v>8</v>
      </c>
      <c r="D6" s="1" t="s">
        <v>92</v>
      </c>
      <c r="E6" s="1" t="s">
        <v>12</v>
      </c>
    </row>
    <row r="7" spans="1:5" ht="15.75" customHeight="1" x14ac:dyDescent="0.15">
      <c r="A7" s="1" t="s">
        <v>21</v>
      </c>
      <c r="B7" s="1" t="s">
        <v>19</v>
      </c>
      <c r="C7" s="1" t="s">
        <v>165</v>
      </c>
      <c r="D7" s="1" t="s">
        <v>23</v>
      </c>
      <c r="E7" s="1" t="s">
        <v>12</v>
      </c>
    </row>
    <row r="8" spans="1:5" ht="15.75" customHeight="1" x14ac:dyDescent="0.15">
      <c r="A8" s="1" t="s">
        <v>21</v>
      </c>
      <c r="B8" s="1" t="s">
        <v>19</v>
      </c>
      <c r="C8" s="1" t="s">
        <v>166</v>
      </c>
      <c r="D8" s="1" t="s">
        <v>23</v>
      </c>
      <c r="E8" s="1" t="s">
        <v>12</v>
      </c>
    </row>
    <row r="9" spans="1:5" ht="15.75" customHeight="1" x14ac:dyDescent="0.15">
      <c r="E9" s="2">
        <f>COUNTIF(E2:E8, "Yes")/COUNTA(E2:E8)</f>
        <v>0.2857142857142857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outlinePr summaryBelow="0" summaryRight="0"/>
  </sheetPr>
  <dimension ref="A1:D11"/>
  <sheetViews>
    <sheetView workbookViewId="0"/>
  </sheetViews>
  <sheetFormatPr baseColWidth="10" defaultColWidth="12.6640625" defaultRowHeight="15.75" customHeight="1" x14ac:dyDescent="0.15"/>
  <sheetData>
    <row r="1" spans="1:4" ht="15.75" customHeight="1" x14ac:dyDescent="0.15">
      <c r="A1" s="1" t="s">
        <v>0</v>
      </c>
      <c r="B1" s="1" t="s">
        <v>167</v>
      </c>
      <c r="C1" s="1" t="s">
        <v>6</v>
      </c>
      <c r="D1" s="1" t="s">
        <v>7</v>
      </c>
    </row>
    <row r="2" spans="1:4" ht="15.75" customHeight="1" x14ac:dyDescent="0.15">
      <c r="A2" s="1" t="s">
        <v>26</v>
      </c>
      <c r="B2" s="1">
        <v>0</v>
      </c>
      <c r="C2" s="1">
        <v>0</v>
      </c>
      <c r="D2" s="1" t="s">
        <v>12</v>
      </c>
    </row>
    <row r="3" spans="1:4" ht="15.75" customHeight="1" x14ac:dyDescent="0.15">
      <c r="A3" s="1" t="s">
        <v>26</v>
      </c>
      <c r="B3" s="1">
        <v>1</v>
      </c>
      <c r="C3" s="1">
        <v>0</v>
      </c>
      <c r="D3" s="1" t="s">
        <v>12</v>
      </c>
    </row>
    <row r="4" spans="1:4" ht="15.75" customHeight="1" x14ac:dyDescent="0.15">
      <c r="A4" s="1" t="s">
        <v>26</v>
      </c>
      <c r="B4" s="1">
        <v>2</v>
      </c>
      <c r="C4" s="1">
        <v>2</v>
      </c>
      <c r="D4" s="1" t="s">
        <v>12</v>
      </c>
    </row>
    <row r="5" spans="1:4" ht="15.75" customHeight="1" x14ac:dyDescent="0.15">
      <c r="A5" s="1" t="s">
        <v>26</v>
      </c>
      <c r="B5" s="1">
        <v>3</v>
      </c>
      <c r="C5" s="1">
        <v>0</v>
      </c>
      <c r="D5" s="1" t="s">
        <v>12</v>
      </c>
    </row>
    <row r="6" spans="1:4" ht="15.75" customHeight="1" x14ac:dyDescent="0.15">
      <c r="A6" s="1" t="s">
        <v>26</v>
      </c>
      <c r="B6" s="1">
        <v>4</v>
      </c>
      <c r="C6" s="1">
        <v>2</v>
      </c>
      <c r="D6" s="1" t="s">
        <v>12</v>
      </c>
    </row>
    <row r="7" spans="1:4" ht="15.75" customHeight="1" x14ac:dyDescent="0.15">
      <c r="A7" s="1" t="s">
        <v>8</v>
      </c>
      <c r="B7" s="1" t="s">
        <v>146</v>
      </c>
      <c r="C7" s="1" t="s">
        <v>168</v>
      </c>
      <c r="D7" s="1" t="s">
        <v>18</v>
      </c>
    </row>
    <row r="8" spans="1:4" ht="15.75" customHeight="1" x14ac:dyDescent="0.15">
      <c r="A8" s="1" t="s">
        <v>8</v>
      </c>
      <c r="B8" s="1" t="s">
        <v>147</v>
      </c>
      <c r="C8" s="1" t="s">
        <v>168</v>
      </c>
      <c r="D8" s="1" t="s">
        <v>12</v>
      </c>
    </row>
    <row r="9" spans="1:4" ht="15.75" customHeight="1" x14ac:dyDescent="0.15">
      <c r="A9" s="1" t="s">
        <v>21</v>
      </c>
      <c r="B9" s="1" t="s">
        <v>169</v>
      </c>
      <c r="C9" s="1" t="s">
        <v>23</v>
      </c>
      <c r="D9" s="1" t="s">
        <v>12</v>
      </c>
    </row>
    <row r="10" spans="1:4" ht="15.75" customHeight="1" x14ac:dyDescent="0.15">
      <c r="A10" s="1" t="s">
        <v>21</v>
      </c>
      <c r="B10" s="1" t="s">
        <v>170</v>
      </c>
      <c r="C10" s="1" t="s">
        <v>23</v>
      </c>
      <c r="D10" s="1" t="s">
        <v>12</v>
      </c>
    </row>
    <row r="11" spans="1:4" ht="15.75" customHeight="1" x14ac:dyDescent="0.15">
      <c r="D11" s="2">
        <f>COUNTIF(D2:D10, "Yes")/COUNTA(D2:D10)</f>
        <v>0.1111111111111111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outlinePr summaryBelow="0" summaryRight="0"/>
  </sheetPr>
  <dimension ref="A1:F21"/>
  <sheetViews>
    <sheetView workbookViewId="0"/>
  </sheetViews>
  <sheetFormatPr baseColWidth="10" defaultColWidth="12.6640625" defaultRowHeight="15.75" customHeight="1" x14ac:dyDescent="0.15"/>
  <sheetData>
    <row r="1" spans="1:6" ht="15.75" customHeight="1" x14ac:dyDescent="0.15">
      <c r="A1" s="1" t="s">
        <v>0</v>
      </c>
      <c r="B1" s="1" t="s">
        <v>28</v>
      </c>
      <c r="C1" s="1" t="s">
        <v>171</v>
      </c>
      <c r="D1" s="1" t="s">
        <v>81</v>
      </c>
      <c r="E1" s="1" t="s">
        <v>6</v>
      </c>
      <c r="F1" s="1" t="s">
        <v>7</v>
      </c>
    </row>
    <row r="2" spans="1:6" ht="15.75" customHeight="1" x14ac:dyDescent="0.15">
      <c r="A2" s="1" t="s">
        <v>8</v>
      </c>
      <c r="B2" s="1" t="s">
        <v>172</v>
      </c>
      <c r="C2" s="1" t="s">
        <v>173</v>
      </c>
      <c r="E2" s="1" t="b">
        <v>1</v>
      </c>
      <c r="F2" s="1" t="s">
        <v>18</v>
      </c>
    </row>
    <row r="3" spans="1:6" ht="15.75" customHeight="1" x14ac:dyDescent="0.15">
      <c r="A3" s="1" t="s">
        <v>8</v>
      </c>
      <c r="B3" s="1" t="s">
        <v>146</v>
      </c>
      <c r="C3" s="1" t="s">
        <v>18</v>
      </c>
      <c r="D3" s="1" t="s">
        <v>174</v>
      </c>
      <c r="E3" s="1" t="b">
        <v>1</v>
      </c>
      <c r="F3" s="1" t="s">
        <v>18</v>
      </c>
    </row>
    <row r="4" spans="1:6" ht="15.75" customHeight="1" x14ac:dyDescent="0.15">
      <c r="A4" s="1" t="s">
        <v>8</v>
      </c>
      <c r="B4" s="1" t="s">
        <v>146</v>
      </c>
      <c r="C4" s="1" t="s">
        <v>18</v>
      </c>
      <c r="D4" s="1" t="s">
        <v>86</v>
      </c>
      <c r="E4" s="1" t="b">
        <v>1</v>
      </c>
      <c r="F4" s="1" t="s">
        <v>12</v>
      </c>
    </row>
    <row r="5" spans="1:6" ht="15.75" customHeight="1" x14ac:dyDescent="0.15">
      <c r="A5" s="1" t="s">
        <v>8</v>
      </c>
      <c r="B5" s="1" t="s">
        <v>146</v>
      </c>
      <c r="C5" s="1" t="s">
        <v>18</v>
      </c>
      <c r="D5" s="1" t="s">
        <v>175</v>
      </c>
      <c r="E5" s="1" t="b">
        <v>1</v>
      </c>
      <c r="F5" s="1" t="s">
        <v>12</v>
      </c>
    </row>
    <row r="6" spans="1:6" ht="15.75" customHeight="1" x14ac:dyDescent="0.15">
      <c r="A6" s="1" t="s">
        <v>8</v>
      </c>
      <c r="B6" s="1" t="s">
        <v>146</v>
      </c>
      <c r="C6" s="1" t="s">
        <v>12</v>
      </c>
      <c r="D6" s="1" t="s">
        <v>174</v>
      </c>
      <c r="E6" s="1" t="b">
        <v>0</v>
      </c>
      <c r="F6" s="1" t="s">
        <v>18</v>
      </c>
    </row>
    <row r="7" spans="1:6" ht="15.75" customHeight="1" x14ac:dyDescent="0.15">
      <c r="A7" s="1" t="s">
        <v>8</v>
      </c>
      <c r="B7" s="1" t="s">
        <v>146</v>
      </c>
      <c r="C7" s="1" t="s">
        <v>12</v>
      </c>
      <c r="D7" s="1" t="s">
        <v>86</v>
      </c>
      <c r="E7" s="1" t="b">
        <v>0</v>
      </c>
      <c r="F7" s="1" t="s">
        <v>12</v>
      </c>
    </row>
    <row r="8" spans="1:6" ht="15.75" customHeight="1" x14ac:dyDescent="0.15">
      <c r="A8" s="1" t="s">
        <v>8</v>
      </c>
      <c r="B8" s="1" t="s">
        <v>146</v>
      </c>
      <c r="C8" s="1" t="s">
        <v>12</v>
      </c>
      <c r="D8" s="1" t="s">
        <v>175</v>
      </c>
      <c r="E8" s="1" t="b">
        <v>0</v>
      </c>
      <c r="F8" s="1" t="s">
        <v>12</v>
      </c>
    </row>
    <row r="9" spans="1:6" ht="15.75" customHeight="1" x14ac:dyDescent="0.15">
      <c r="A9" s="1" t="s">
        <v>8</v>
      </c>
      <c r="B9" s="1" t="s">
        <v>147</v>
      </c>
      <c r="C9" s="1" t="s">
        <v>18</v>
      </c>
      <c r="D9" s="1" t="s">
        <v>174</v>
      </c>
      <c r="E9" s="1" t="b">
        <v>1</v>
      </c>
      <c r="F9" s="1" t="s">
        <v>12</v>
      </c>
    </row>
    <row r="10" spans="1:6" ht="15.75" customHeight="1" x14ac:dyDescent="0.15">
      <c r="A10" s="1" t="s">
        <v>8</v>
      </c>
      <c r="B10" s="1" t="s">
        <v>147</v>
      </c>
      <c r="C10" s="1" t="s">
        <v>18</v>
      </c>
      <c r="D10" s="1" t="s">
        <v>86</v>
      </c>
      <c r="E10" s="1" t="b">
        <v>1</v>
      </c>
      <c r="F10" s="1" t="s">
        <v>12</v>
      </c>
    </row>
    <row r="11" spans="1:6" ht="15.75" customHeight="1" x14ac:dyDescent="0.15">
      <c r="A11" s="1" t="s">
        <v>8</v>
      </c>
      <c r="B11" s="1" t="s">
        <v>147</v>
      </c>
      <c r="C11" s="1" t="s">
        <v>18</v>
      </c>
      <c r="D11" s="1" t="s">
        <v>175</v>
      </c>
      <c r="E11" s="1" t="b">
        <v>1</v>
      </c>
      <c r="F11" s="1" t="s">
        <v>12</v>
      </c>
    </row>
    <row r="12" spans="1:6" ht="15.75" customHeight="1" x14ac:dyDescent="0.15">
      <c r="A12" s="1" t="s">
        <v>8</v>
      </c>
      <c r="B12" s="1" t="s">
        <v>147</v>
      </c>
      <c r="C12" s="1" t="s">
        <v>12</v>
      </c>
      <c r="D12" s="1" t="s">
        <v>174</v>
      </c>
      <c r="E12" s="1" t="b">
        <v>0</v>
      </c>
      <c r="F12" s="1" t="s">
        <v>12</v>
      </c>
    </row>
    <row r="13" spans="1:6" ht="15.75" customHeight="1" x14ac:dyDescent="0.15">
      <c r="A13" s="1" t="s">
        <v>8</v>
      </c>
      <c r="B13" s="1" t="s">
        <v>147</v>
      </c>
      <c r="C13" s="1" t="s">
        <v>12</v>
      </c>
      <c r="D13" s="1" t="s">
        <v>86</v>
      </c>
      <c r="E13" s="1" t="b">
        <v>0</v>
      </c>
      <c r="F13" s="1" t="s">
        <v>12</v>
      </c>
    </row>
    <row r="14" spans="1:6" ht="15.75" customHeight="1" x14ac:dyDescent="0.15">
      <c r="A14" s="1" t="s">
        <v>8</v>
      </c>
      <c r="B14" s="1" t="s">
        <v>147</v>
      </c>
      <c r="C14" s="1" t="s">
        <v>12</v>
      </c>
      <c r="D14" s="1" t="s">
        <v>175</v>
      </c>
      <c r="E14" s="1" t="b">
        <v>0</v>
      </c>
      <c r="F14" s="1" t="s">
        <v>12</v>
      </c>
    </row>
    <row r="15" spans="1:6" ht="15.75" customHeight="1" x14ac:dyDescent="0.15">
      <c r="A15" s="1" t="s">
        <v>21</v>
      </c>
      <c r="B15" s="1" t="s">
        <v>38</v>
      </c>
      <c r="E15" s="1" t="s">
        <v>23</v>
      </c>
      <c r="F15" s="1" t="s">
        <v>12</v>
      </c>
    </row>
    <row r="16" spans="1:6" ht="15.75" customHeight="1" x14ac:dyDescent="0.15">
      <c r="A16" s="1" t="s">
        <v>21</v>
      </c>
      <c r="B16" s="1" t="s">
        <v>176</v>
      </c>
      <c r="E16" s="1" t="s">
        <v>23</v>
      </c>
      <c r="F16" s="1" t="s">
        <v>12</v>
      </c>
    </row>
    <row r="17" spans="1:6" ht="15.75" customHeight="1" x14ac:dyDescent="0.15">
      <c r="A17" s="1" t="s">
        <v>21</v>
      </c>
      <c r="D17" s="1" t="s">
        <v>87</v>
      </c>
      <c r="E17" s="1" t="s">
        <v>23</v>
      </c>
      <c r="F17" s="1" t="s">
        <v>12</v>
      </c>
    </row>
    <row r="18" spans="1:6" ht="15.75" customHeight="1" x14ac:dyDescent="0.15">
      <c r="A18" s="1" t="s">
        <v>26</v>
      </c>
      <c r="B18" s="1" t="s">
        <v>177</v>
      </c>
      <c r="C18" s="1" t="s">
        <v>173</v>
      </c>
      <c r="D18" s="1" t="s">
        <v>178</v>
      </c>
      <c r="E18" s="1" t="b">
        <v>1</v>
      </c>
      <c r="F18" s="1" t="s">
        <v>12</v>
      </c>
    </row>
    <row r="19" spans="1:6" ht="15.75" customHeight="1" x14ac:dyDescent="0.15">
      <c r="A19" s="1" t="s">
        <v>26</v>
      </c>
      <c r="B19" s="1" t="s">
        <v>179</v>
      </c>
      <c r="C19" s="1" t="s">
        <v>18</v>
      </c>
      <c r="D19" s="1" t="s">
        <v>178</v>
      </c>
      <c r="E19" s="1" t="b">
        <v>1</v>
      </c>
      <c r="F19" s="1" t="s">
        <v>12</v>
      </c>
    </row>
    <row r="20" spans="1:6" ht="15.75" customHeight="1" x14ac:dyDescent="0.15">
      <c r="A20" s="1" t="s">
        <v>26</v>
      </c>
      <c r="B20" s="1" t="s">
        <v>179</v>
      </c>
      <c r="C20" s="1" t="s">
        <v>12</v>
      </c>
      <c r="D20" s="1" t="s">
        <v>178</v>
      </c>
      <c r="E20" s="1" t="b">
        <v>0</v>
      </c>
      <c r="F20" s="1" t="s">
        <v>12</v>
      </c>
    </row>
    <row r="21" spans="1:6" ht="15.75" customHeight="1" x14ac:dyDescent="0.15">
      <c r="F21" s="2">
        <f>COUNTIF(F2:F20, "Yes") / COUNTA(F2:F20)</f>
        <v>0.15789473684210525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outlinePr summaryBelow="0" summaryRight="0"/>
  </sheetPr>
  <dimension ref="A1:D11"/>
  <sheetViews>
    <sheetView workbookViewId="0"/>
  </sheetViews>
  <sheetFormatPr baseColWidth="10" defaultColWidth="12.6640625" defaultRowHeight="15.75" customHeight="1" x14ac:dyDescent="0.15"/>
  <sheetData>
    <row r="1" spans="1:4" ht="15.75" customHeight="1" x14ac:dyDescent="0.15">
      <c r="A1" s="1" t="s">
        <v>0</v>
      </c>
      <c r="B1" s="1" t="s">
        <v>167</v>
      </c>
      <c r="C1" s="1" t="s">
        <v>6</v>
      </c>
      <c r="D1" s="1" t="s">
        <v>7</v>
      </c>
    </row>
    <row r="2" spans="1:4" ht="15.75" customHeight="1" x14ac:dyDescent="0.15">
      <c r="A2" s="1" t="s">
        <v>8</v>
      </c>
      <c r="B2" s="1" t="s">
        <v>180</v>
      </c>
      <c r="C2" s="1" t="s">
        <v>181</v>
      </c>
      <c r="D2" s="1" t="s">
        <v>18</v>
      </c>
    </row>
    <row r="3" spans="1:4" ht="15.75" customHeight="1" x14ac:dyDescent="0.15">
      <c r="A3" s="1" t="s">
        <v>8</v>
      </c>
      <c r="B3" s="1" t="s">
        <v>182</v>
      </c>
      <c r="C3" s="1" t="s">
        <v>181</v>
      </c>
      <c r="D3" s="1" t="s">
        <v>12</v>
      </c>
    </row>
    <row r="4" spans="1:4" ht="15.75" customHeight="1" x14ac:dyDescent="0.15">
      <c r="A4" s="1" t="s">
        <v>21</v>
      </c>
      <c r="B4" s="1" t="s">
        <v>183</v>
      </c>
      <c r="C4" s="1" t="s">
        <v>23</v>
      </c>
      <c r="D4" s="1" t="s">
        <v>12</v>
      </c>
    </row>
    <row r="5" spans="1:4" ht="15.75" customHeight="1" x14ac:dyDescent="0.15">
      <c r="A5" s="1" t="s">
        <v>21</v>
      </c>
      <c r="B5" s="1" t="s">
        <v>184</v>
      </c>
      <c r="C5" s="1" t="s">
        <v>23</v>
      </c>
      <c r="D5" s="1" t="s">
        <v>12</v>
      </c>
    </row>
    <row r="6" spans="1:4" ht="15.75" customHeight="1" x14ac:dyDescent="0.15">
      <c r="A6" s="1" t="s">
        <v>21</v>
      </c>
      <c r="B6" s="1" t="s">
        <v>31</v>
      </c>
      <c r="C6" s="1" t="s">
        <v>23</v>
      </c>
      <c r="D6" s="1" t="s">
        <v>12</v>
      </c>
    </row>
    <row r="7" spans="1:4" ht="15.75" customHeight="1" x14ac:dyDescent="0.15">
      <c r="A7" s="1" t="s">
        <v>21</v>
      </c>
      <c r="B7" s="1">
        <v>0</v>
      </c>
      <c r="C7" s="1" t="s">
        <v>23</v>
      </c>
      <c r="D7" s="1" t="s">
        <v>12</v>
      </c>
    </row>
    <row r="8" spans="1:4" ht="15.75" customHeight="1" x14ac:dyDescent="0.15">
      <c r="A8" s="1" t="s">
        <v>26</v>
      </c>
      <c r="B8" s="1">
        <v>1</v>
      </c>
      <c r="C8" s="1">
        <v>1</v>
      </c>
      <c r="D8" s="1" t="s">
        <v>18</v>
      </c>
    </row>
    <row r="9" spans="1:4" ht="15.75" customHeight="1" x14ac:dyDescent="0.15">
      <c r="A9" s="1" t="s">
        <v>26</v>
      </c>
      <c r="B9" s="1">
        <v>2</v>
      </c>
      <c r="C9" s="1">
        <v>1</v>
      </c>
      <c r="D9" s="1" t="s">
        <v>12</v>
      </c>
    </row>
    <row r="10" spans="1:4" ht="15.75" customHeight="1" x14ac:dyDescent="0.15">
      <c r="A10" s="1" t="s">
        <v>26</v>
      </c>
      <c r="B10" s="1">
        <v>3</v>
      </c>
      <c r="C10" s="1">
        <v>2</v>
      </c>
      <c r="D10" s="1" t="s">
        <v>12</v>
      </c>
    </row>
    <row r="11" spans="1:4" ht="15.75" customHeight="1" x14ac:dyDescent="0.15">
      <c r="D11" s="2">
        <f>COUNTIF(D2:D10, "Yes")/COUNTA(D2:D10)</f>
        <v>0.22222222222222221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outlinePr summaryBelow="0" summaryRight="0"/>
  </sheetPr>
  <dimension ref="A1:F15"/>
  <sheetViews>
    <sheetView workbookViewId="0"/>
  </sheetViews>
  <sheetFormatPr baseColWidth="10" defaultColWidth="12.6640625" defaultRowHeight="15.75" customHeight="1" x14ac:dyDescent="0.15"/>
  <sheetData>
    <row r="1" spans="1:6" ht="15.75" customHeight="1" x14ac:dyDescent="0.15">
      <c r="A1" s="1" t="s">
        <v>0</v>
      </c>
      <c r="B1" s="1" t="s">
        <v>1</v>
      </c>
      <c r="C1" s="1" t="s">
        <v>185</v>
      </c>
      <c r="D1" s="1" t="s">
        <v>186</v>
      </c>
      <c r="E1" s="1" t="s">
        <v>6</v>
      </c>
      <c r="F1" s="1" t="s">
        <v>7</v>
      </c>
    </row>
    <row r="2" spans="1:6" ht="15.75" customHeight="1" x14ac:dyDescent="0.15">
      <c r="A2" s="1" t="s">
        <v>8</v>
      </c>
      <c r="B2" s="1">
        <v>0</v>
      </c>
      <c r="C2" s="1" t="s">
        <v>187</v>
      </c>
      <c r="E2" s="1" t="b">
        <v>1</v>
      </c>
      <c r="F2" s="1" t="s">
        <v>12</v>
      </c>
    </row>
    <row r="3" spans="1:6" ht="15.75" customHeight="1" x14ac:dyDescent="0.15">
      <c r="A3" s="1" t="s">
        <v>8</v>
      </c>
      <c r="B3" s="1" t="s">
        <v>43</v>
      </c>
      <c r="C3" s="1" t="s">
        <v>188</v>
      </c>
      <c r="D3" s="1" t="s">
        <v>12</v>
      </c>
      <c r="E3" s="1" t="b">
        <v>1</v>
      </c>
      <c r="F3" s="1" t="s">
        <v>18</v>
      </c>
    </row>
    <row r="4" spans="1:6" ht="15.75" customHeight="1" x14ac:dyDescent="0.15">
      <c r="A4" s="1" t="s">
        <v>8</v>
      </c>
      <c r="B4" s="1" t="s">
        <v>43</v>
      </c>
      <c r="C4" s="1" t="s">
        <v>188</v>
      </c>
      <c r="D4" s="1" t="s">
        <v>18</v>
      </c>
      <c r="E4" s="1" t="b">
        <v>1</v>
      </c>
      <c r="F4" s="1" t="s">
        <v>12</v>
      </c>
    </row>
    <row r="5" spans="1:6" ht="15.75" customHeight="1" x14ac:dyDescent="0.15">
      <c r="A5" s="1" t="s">
        <v>8</v>
      </c>
      <c r="B5" s="3" t="s">
        <v>43</v>
      </c>
      <c r="C5" s="3" t="s">
        <v>189</v>
      </c>
      <c r="D5" s="3" t="s">
        <v>12</v>
      </c>
      <c r="E5" s="1" t="b">
        <v>1</v>
      </c>
      <c r="F5" s="1" t="s">
        <v>18</v>
      </c>
    </row>
    <row r="6" spans="1:6" ht="15.75" customHeight="1" x14ac:dyDescent="0.15">
      <c r="A6" s="1" t="s">
        <v>8</v>
      </c>
      <c r="B6" s="3" t="s">
        <v>43</v>
      </c>
      <c r="C6" s="3" t="s">
        <v>189</v>
      </c>
      <c r="D6" s="3" t="s">
        <v>18</v>
      </c>
      <c r="E6" s="1" t="b">
        <v>1</v>
      </c>
      <c r="F6" s="1" t="s">
        <v>18</v>
      </c>
    </row>
    <row r="7" spans="1:6" ht="15.75" customHeight="1" x14ac:dyDescent="0.15">
      <c r="A7" s="1" t="s">
        <v>8</v>
      </c>
      <c r="B7" s="3" t="s">
        <v>43</v>
      </c>
      <c r="C7" s="1" t="s">
        <v>190</v>
      </c>
      <c r="E7" s="1" t="b">
        <v>0</v>
      </c>
      <c r="F7" s="1" t="s">
        <v>18</v>
      </c>
    </row>
    <row r="8" spans="1:6" ht="15.75" customHeight="1" x14ac:dyDescent="0.15">
      <c r="A8" s="1" t="s">
        <v>21</v>
      </c>
      <c r="B8" s="1" t="s">
        <v>191</v>
      </c>
      <c r="C8" s="1"/>
      <c r="E8" s="1" t="s">
        <v>23</v>
      </c>
      <c r="F8" s="1" t="s">
        <v>12</v>
      </c>
    </row>
    <row r="9" spans="1:6" ht="15.75" customHeight="1" x14ac:dyDescent="0.15">
      <c r="A9" s="1" t="s">
        <v>26</v>
      </c>
      <c r="B9" s="1">
        <v>1</v>
      </c>
      <c r="C9" s="1" t="s">
        <v>187</v>
      </c>
      <c r="E9" s="1" t="b">
        <v>1</v>
      </c>
      <c r="F9" s="1" t="s">
        <v>12</v>
      </c>
    </row>
    <row r="10" spans="1:6" ht="15.75" customHeight="1" x14ac:dyDescent="0.15">
      <c r="A10" s="1" t="s">
        <v>26</v>
      </c>
      <c r="B10" s="1">
        <v>2</v>
      </c>
      <c r="C10" s="1" t="s">
        <v>187</v>
      </c>
      <c r="D10" s="1"/>
      <c r="E10" s="1" t="b">
        <v>1</v>
      </c>
      <c r="F10" s="1" t="s">
        <v>12</v>
      </c>
    </row>
    <row r="11" spans="1:6" ht="15.75" customHeight="1" x14ac:dyDescent="0.15">
      <c r="A11" s="1" t="s">
        <v>26</v>
      </c>
      <c r="B11" s="1">
        <v>3</v>
      </c>
      <c r="C11" s="1" t="s">
        <v>188</v>
      </c>
      <c r="D11" s="1" t="s">
        <v>12</v>
      </c>
      <c r="E11" s="1" t="b">
        <v>1</v>
      </c>
      <c r="F11" s="1" t="s">
        <v>12</v>
      </c>
    </row>
    <row r="12" spans="1:6" ht="15.75" customHeight="1" x14ac:dyDescent="0.15">
      <c r="A12" s="1" t="s">
        <v>26</v>
      </c>
      <c r="B12" s="1">
        <v>3</v>
      </c>
      <c r="C12" s="1" t="s">
        <v>189</v>
      </c>
      <c r="D12" s="1" t="s">
        <v>12</v>
      </c>
      <c r="E12" s="1" t="b">
        <v>1</v>
      </c>
      <c r="F12" s="1" t="s">
        <v>12</v>
      </c>
    </row>
    <row r="13" spans="1:6" ht="15.75" customHeight="1" x14ac:dyDescent="0.15">
      <c r="A13" s="1" t="s">
        <v>26</v>
      </c>
      <c r="B13" s="1">
        <v>3</v>
      </c>
      <c r="C13" s="1" t="s">
        <v>190</v>
      </c>
      <c r="E13" s="1" t="b">
        <v>0</v>
      </c>
      <c r="F13" s="1" t="s">
        <v>12</v>
      </c>
    </row>
    <row r="14" spans="1:6" ht="15.75" customHeight="1" x14ac:dyDescent="0.15">
      <c r="A14" s="1" t="s">
        <v>26</v>
      </c>
      <c r="B14" s="1" t="s">
        <v>43</v>
      </c>
      <c r="C14" s="1" t="s">
        <v>187</v>
      </c>
      <c r="D14" s="1" t="s">
        <v>192</v>
      </c>
      <c r="E14" s="1" t="b">
        <v>1</v>
      </c>
      <c r="F14" s="1" t="s">
        <v>18</v>
      </c>
    </row>
    <row r="15" spans="1:6" ht="15.75" customHeight="1" x14ac:dyDescent="0.15">
      <c r="F15" s="2">
        <f>COUNTIF(F2:F14,"Yes")/COUNTA(F2:F14)</f>
        <v>0.38461538461538464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outlinePr summaryBelow="0" summaryRight="0"/>
  </sheetPr>
  <dimension ref="A1:G11"/>
  <sheetViews>
    <sheetView workbookViewId="0"/>
  </sheetViews>
  <sheetFormatPr baseColWidth="10" defaultColWidth="12.6640625" defaultRowHeight="15.75" customHeight="1" x14ac:dyDescent="0.15"/>
  <sheetData>
    <row r="1" spans="1:7" ht="15.75" customHeight="1" x14ac:dyDescent="0.15">
      <c r="A1" s="1" t="s">
        <v>0</v>
      </c>
      <c r="B1" s="1" t="s">
        <v>193</v>
      </c>
      <c r="C1" s="1" t="s">
        <v>194</v>
      </c>
      <c r="D1" s="1" t="s">
        <v>195</v>
      </c>
      <c r="E1" s="1" t="s">
        <v>4</v>
      </c>
      <c r="F1" s="1" t="s">
        <v>6</v>
      </c>
      <c r="G1" s="1" t="s">
        <v>7</v>
      </c>
    </row>
    <row r="2" spans="1:7" ht="15.75" customHeight="1" x14ac:dyDescent="0.15">
      <c r="A2" s="1" t="s">
        <v>8</v>
      </c>
      <c r="B2" s="1" t="s">
        <v>31</v>
      </c>
      <c r="C2" s="1" t="s">
        <v>31</v>
      </c>
      <c r="D2" s="1" t="s">
        <v>109</v>
      </c>
      <c r="E2" s="1" t="s">
        <v>142</v>
      </c>
      <c r="F2" s="1" t="s">
        <v>48</v>
      </c>
      <c r="G2" s="1" t="s">
        <v>12</v>
      </c>
    </row>
    <row r="3" spans="1:7" ht="15.75" customHeight="1" x14ac:dyDescent="0.15">
      <c r="A3" s="1" t="s">
        <v>8</v>
      </c>
      <c r="B3" s="1" t="s">
        <v>32</v>
      </c>
      <c r="C3" s="1" t="s">
        <v>31</v>
      </c>
      <c r="D3" s="1" t="s">
        <v>109</v>
      </c>
      <c r="E3" s="1" t="s">
        <v>12</v>
      </c>
      <c r="F3" s="1" t="s">
        <v>48</v>
      </c>
      <c r="G3" s="1" t="s">
        <v>18</v>
      </c>
    </row>
    <row r="4" spans="1:7" ht="15.75" customHeight="1" x14ac:dyDescent="0.15">
      <c r="A4" s="1" t="s">
        <v>8</v>
      </c>
      <c r="B4" s="1" t="s">
        <v>31</v>
      </c>
      <c r="C4" s="1" t="s">
        <v>32</v>
      </c>
      <c r="D4" s="1" t="s">
        <v>109</v>
      </c>
      <c r="E4" s="1" t="s">
        <v>12</v>
      </c>
      <c r="F4" s="1" t="s">
        <v>48</v>
      </c>
      <c r="G4" s="1" t="s">
        <v>12</v>
      </c>
    </row>
    <row r="5" spans="1:7" ht="15.75" customHeight="1" x14ac:dyDescent="0.15">
      <c r="A5" s="1" t="s">
        <v>8</v>
      </c>
      <c r="B5" s="1" t="s">
        <v>32</v>
      </c>
      <c r="C5" s="1" t="s">
        <v>32</v>
      </c>
      <c r="D5" s="1" t="s">
        <v>196</v>
      </c>
      <c r="E5" s="1" t="s">
        <v>12</v>
      </c>
      <c r="F5" s="1" t="s">
        <v>197</v>
      </c>
      <c r="G5" s="1" t="s">
        <v>12</v>
      </c>
    </row>
    <row r="6" spans="1:7" ht="15.75" customHeight="1" x14ac:dyDescent="0.15">
      <c r="A6" s="1" t="s">
        <v>8</v>
      </c>
      <c r="B6" s="3" t="s">
        <v>32</v>
      </c>
      <c r="C6" s="3" t="s">
        <v>32</v>
      </c>
      <c r="D6" s="1" t="s">
        <v>198</v>
      </c>
      <c r="E6" s="1" t="s">
        <v>12</v>
      </c>
      <c r="F6" s="1" t="s">
        <v>199</v>
      </c>
      <c r="G6" s="1" t="s">
        <v>18</v>
      </c>
    </row>
    <row r="7" spans="1:7" ht="15.75" customHeight="1" x14ac:dyDescent="0.15">
      <c r="A7" s="1" t="s">
        <v>8</v>
      </c>
      <c r="B7" s="3" t="s">
        <v>32</v>
      </c>
      <c r="C7" s="3" t="s">
        <v>32</v>
      </c>
      <c r="D7" s="1" t="s">
        <v>198</v>
      </c>
      <c r="E7" s="1" t="s">
        <v>18</v>
      </c>
      <c r="F7" s="1" t="s">
        <v>199</v>
      </c>
      <c r="G7" s="1" t="s">
        <v>12</v>
      </c>
    </row>
    <row r="8" spans="1:7" ht="15.75" customHeight="1" x14ac:dyDescent="0.15">
      <c r="A8" s="1" t="s">
        <v>21</v>
      </c>
      <c r="B8" s="1" t="s">
        <v>8</v>
      </c>
      <c r="C8" s="1" t="s">
        <v>200</v>
      </c>
      <c r="D8" s="1" t="s">
        <v>9</v>
      </c>
      <c r="E8" s="1" t="s">
        <v>11</v>
      </c>
      <c r="F8" s="1" t="s">
        <v>23</v>
      </c>
      <c r="G8" s="1" t="s">
        <v>12</v>
      </c>
    </row>
    <row r="9" spans="1:7" ht="15.75" customHeight="1" x14ac:dyDescent="0.15">
      <c r="A9" s="1" t="s">
        <v>21</v>
      </c>
      <c r="B9" s="1" t="s">
        <v>200</v>
      </c>
      <c r="C9" s="1" t="s">
        <v>8</v>
      </c>
      <c r="D9" s="1" t="s">
        <v>9</v>
      </c>
      <c r="E9" s="1" t="s">
        <v>11</v>
      </c>
      <c r="F9" s="1" t="s">
        <v>23</v>
      </c>
      <c r="G9" s="1" t="s">
        <v>12</v>
      </c>
    </row>
    <row r="10" spans="1:7" ht="15.75" customHeight="1" x14ac:dyDescent="0.15">
      <c r="A10" s="1" t="s">
        <v>26</v>
      </c>
      <c r="B10" s="3" t="s">
        <v>32</v>
      </c>
      <c r="C10" s="3" t="s">
        <v>32</v>
      </c>
      <c r="D10" s="1" t="s">
        <v>102</v>
      </c>
      <c r="E10" s="1" t="s">
        <v>11</v>
      </c>
      <c r="F10" s="1" t="s">
        <v>201</v>
      </c>
      <c r="G10" s="1" t="s">
        <v>12</v>
      </c>
    </row>
    <row r="11" spans="1:7" ht="15.75" customHeight="1" x14ac:dyDescent="0.15">
      <c r="G11" s="2">
        <f>COUNTIF(G2:G10, "Yes")/COUNTA(G2:G10)</f>
        <v>0.22222222222222221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outlinePr summaryBelow="0" summaryRight="0"/>
  </sheetPr>
  <dimension ref="A1:G8"/>
  <sheetViews>
    <sheetView workbookViewId="0"/>
  </sheetViews>
  <sheetFormatPr baseColWidth="10" defaultColWidth="12.6640625" defaultRowHeight="15.75" customHeight="1" x14ac:dyDescent="0.15"/>
  <sheetData>
    <row r="1" spans="1:7" ht="15.75" customHeight="1" x14ac:dyDescent="0.15">
      <c r="A1" s="1" t="s">
        <v>0</v>
      </c>
      <c r="B1" s="1" t="s">
        <v>202</v>
      </c>
      <c r="C1" s="1" t="s">
        <v>203</v>
      </c>
      <c r="D1" s="1" t="s">
        <v>204</v>
      </c>
      <c r="E1" s="1" t="s">
        <v>205</v>
      </c>
      <c r="F1" s="1" t="s">
        <v>6</v>
      </c>
      <c r="G1" s="1" t="s">
        <v>7</v>
      </c>
    </row>
    <row r="2" spans="1:7" ht="15.75" customHeight="1" x14ac:dyDescent="0.15">
      <c r="A2" s="1" t="s">
        <v>8</v>
      </c>
      <c r="B2" s="1" t="s">
        <v>45</v>
      </c>
      <c r="C2" s="1" t="s">
        <v>45</v>
      </c>
      <c r="D2" s="1" t="s">
        <v>43</v>
      </c>
      <c r="E2" s="1" t="s">
        <v>206</v>
      </c>
      <c r="F2" s="1" t="s">
        <v>46</v>
      </c>
      <c r="G2" s="1" t="s">
        <v>18</v>
      </c>
    </row>
    <row r="3" spans="1:7" ht="15.75" customHeight="1" x14ac:dyDescent="0.15">
      <c r="A3" s="1" t="s">
        <v>8</v>
      </c>
      <c r="B3" s="1" t="s">
        <v>45</v>
      </c>
      <c r="C3" s="1" t="s">
        <v>45</v>
      </c>
      <c r="D3" s="1" t="s">
        <v>43</v>
      </c>
      <c r="E3" s="1" t="s">
        <v>207</v>
      </c>
      <c r="F3" s="1" t="s">
        <v>46</v>
      </c>
      <c r="G3" s="1" t="s">
        <v>18</v>
      </c>
    </row>
    <row r="4" spans="1:7" ht="15.75" customHeight="1" x14ac:dyDescent="0.15">
      <c r="A4" s="1" t="s">
        <v>8</v>
      </c>
      <c r="B4" s="1" t="s">
        <v>45</v>
      </c>
      <c r="C4" s="1" t="s">
        <v>45</v>
      </c>
      <c r="D4" s="1" t="s">
        <v>43</v>
      </c>
      <c r="E4" s="1" t="s">
        <v>204</v>
      </c>
      <c r="F4" s="1" t="s">
        <v>208</v>
      </c>
      <c r="G4" s="1" t="s">
        <v>18</v>
      </c>
    </row>
    <row r="5" spans="1:7" ht="15.75" customHeight="1" x14ac:dyDescent="0.15">
      <c r="A5" s="1" t="s">
        <v>21</v>
      </c>
      <c r="B5" s="1" t="s">
        <v>209</v>
      </c>
      <c r="C5" s="1" t="s">
        <v>45</v>
      </c>
      <c r="F5" s="1" t="s">
        <v>23</v>
      </c>
      <c r="G5" s="1" t="s">
        <v>12</v>
      </c>
    </row>
    <row r="6" spans="1:7" ht="15.75" customHeight="1" x14ac:dyDescent="0.15">
      <c r="A6" s="1" t="s">
        <v>21</v>
      </c>
      <c r="B6" s="1" t="s">
        <v>45</v>
      </c>
      <c r="C6" s="1" t="s">
        <v>209</v>
      </c>
      <c r="F6" s="1" t="s">
        <v>23</v>
      </c>
      <c r="G6" s="1" t="s">
        <v>12</v>
      </c>
    </row>
    <row r="7" spans="1:7" ht="15.75" customHeight="1" x14ac:dyDescent="0.15">
      <c r="A7" s="1" t="s">
        <v>26</v>
      </c>
      <c r="B7" s="1" t="s">
        <v>210</v>
      </c>
      <c r="C7" s="1" t="s">
        <v>45</v>
      </c>
      <c r="D7" s="1">
        <v>1</v>
      </c>
      <c r="E7" s="1" t="s">
        <v>11</v>
      </c>
      <c r="F7" s="1" t="s">
        <v>208</v>
      </c>
      <c r="G7" s="1" t="s">
        <v>12</v>
      </c>
    </row>
    <row r="8" spans="1:7" ht="15.75" customHeight="1" x14ac:dyDescent="0.15">
      <c r="G8" s="2">
        <f>COUNTIF(G2:G7, "Yes")/COUNTA(G2:G7)</f>
        <v>0.5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outlinePr summaryBelow="0" summaryRight="0"/>
  </sheetPr>
  <dimension ref="A1:F12"/>
  <sheetViews>
    <sheetView workbookViewId="0"/>
  </sheetViews>
  <sheetFormatPr baseColWidth="10" defaultColWidth="12.6640625" defaultRowHeight="15.75" customHeight="1" x14ac:dyDescent="0.15"/>
  <sheetData>
    <row r="1" spans="1:6" ht="15.75" customHeight="1" x14ac:dyDescent="0.15">
      <c r="A1" s="1" t="s">
        <v>0</v>
      </c>
      <c r="B1" s="1" t="s">
        <v>1</v>
      </c>
      <c r="C1" s="1" t="s">
        <v>211</v>
      </c>
      <c r="D1" s="1" t="s">
        <v>212</v>
      </c>
      <c r="E1" s="1" t="s">
        <v>6</v>
      </c>
      <c r="F1" s="1" t="s">
        <v>7</v>
      </c>
    </row>
    <row r="2" spans="1:6" ht="15.75" customHeight="1" x14ac:dyDescent="0.15">
      <c r="A2" s="1" t="s">
        <v>8</v>
      </c>
      <c r="B2" s="1" t="s">
        <v>31</v>
      </c>
      <c r="C2" s="1" t="s">
        <v>9</v>
      </c>
      <c r="D2" s="1" t="s">
        <v>142</v>
      </c>
      <c r="E2" s="1">
        <v>-1</v>
      </c>
      <c r="F2" s="1" t="s">
        <v>12</v>
      </c>
    </row>
    <row r="3" spans="1:6" ht="15.75" customHeight="1" x14ac:dyDescent="0.15">
      <c r="A3" s="1" t="s">
        <v>8</v>
      </c>
      <c r="B3" s="1">
        <v>1</v>
      </c>
      <c r="C3" s="1" t="s">
        <v>60</v>
      </c>
      <c r="D3" s="1" t="s">
        <v>12</v>
      </c>
      <c r="E3" s="1">
        <v>-1</v>
      </c>
      <c r="F3" s="1" t="s">
        <v>18</v>
      </c>
    </row>
    <row r="4" spans="1:6" ht="15.75" customHeight="1" x14ac:dyDescent="0.15">
      <c r="A4" s="1" t="s">
        <v>8</v>
      </c>
      <c r="B4" s="1">
        <v>1</v>
      </c>
      <c r="C4" s="1" t="s">
        <v>60</v>
      </c>
      <c r="D4" s="1" t="s">
        <v>18</v>
      </c>
      <c r="E4" s="1" t="s">
        <v>213</v>
      </c>
      <c r="F4" s="1" t="s">
        <v>18</v>
      </c>
    </row>
    <row r="5" spans="1:6" ht="15.75" customHeight="1" x14ac:dyDescent="0.15">
      <c r="A5" s="1" t="s">
        <v>8</v>
      </c>
      <c r="B5" s="1" t="s">
        <v>14</v>
      </c>
      <c r="C5" s="1" t="s">
        <v>214</v>
      </c>
      <c r="D5" s="1" t="s">
        <v>142</v>
      </c>
      <c r="E5" s="1">
        <v>-1</v>
      </c>
      <c r="F5" s="1" t="s">
        <v>12</v>
      </c>
    </row>
    <row r="6" spans="1:6" ht="15.75" customHeight="1" x14ac:dyDescent="0.15">
      <c r="A6" s="1" t="s">
        <v>8</v>
      </c>
      <c r="B6" s="1" t="s">
        <v>14</v>
      </c>
      <c r="C6" s="1" t="s">
        <v>215</v>
      </c>
      <c r="D6" s="1" t="s">
        <v>12</v>
      </c>
      <c r="E6" s="1">
        <v>-1</v>
      </c>
      <c r="F6" s="1" t="s">
        <v>18</v>
      </c>
    </row>
    <row r="7" spans="1:6" ht="15.75" customHeight="1" x14ac:dyDescent="0.15">
      <c r="A7" s="1" t="s">
        <v>8</v>
      </c>
      <c r="B7" s="1" t="s">
        <v>14</v>
      </c>
      <c r="C7" s="1" t="s">
        <v>215</v>
      </c>
      <c r="D7" s="1" t="s">
        <v>216</v>
      </c>
      <c r="E7" s="1" t="s">
        <v>217</v>
      </c>
      <c r="F7" s="1" t="s">
        <v>18</v>
      </c>
    </row>
    <row r="8" spans="1:6" ht="15.75" customHeight="1" x14ac:dyDescent="0.15">
      <c r="A8" s="1" t="s">
        <v>8</v>
      </c>
      <c r="B8" s="1" t="s">
        <v>14</v>
      </c>
      <c r="C8" s="1" t="s">
        <v>215</v>
      </c>
      <c r="D8" s="1" t="s">
        <v>218</v>
      </c>
      <c r="E8" s="1" t="s">
        <v>219</v>
      </c>
      <c r="F8" s="1" t="s">
        <v>18</v>
      </c>
    </row>
    <row r="9" spans="1:6" ht="15.75" customHeight="1" x14ac:dyDescent="0.15">
      <c r="A9" s="1" t="s">
        <v>26</v>
      </c>
      <c r="B9" s="1" t="s">
        <v>14</v>
      </c>
      <c r="C9" s="1" t="s">
        <v>220</v>
      </c>
      <c r="D9" s="1" t="s">
        <v>157</v>
      </c>
      <c r="E9" s="1">
        <v>1</v>
      </c>
      <c r="F9" s="1" t="s">
        <v>18</v>
      </c>
    </row>
    <row r="10" spans="1:6" ht="15.75" customHeight="1" x14ac:dyDescent="0.15">
      <c r="A10" s="1" t="s">
        <v>26</v>
      </c>
      <c r="B10" s="1" t="s">
        <v>14</v>
      </c>
      <c r="C10" s="1" t="s">
        <v>221</v>
      </c>
      <c r="D10" s="1" t="s">
        <v>157</v>
      </c>
      <c r="E10" s="1" t="s">
        <v>217</v>
      </c>
      <c r="F10" s="1" t="s">
        <v>18</v>
      </c>
    </row>
    <row r="11" spans="1:6" ht="15.75" customHeight="1" x14ac:dyDescent="0.15">
      <c r="A11" s="1" t="s">
        <v>21</v>
      </c>
      <c r="B11" s="1" t="s">
        <v>19</v>
      </c>
      <c r="C11" s="1" t="s">
        <v>47</v>
      </c>
      <c r="D11" s="1" t="s">
        <v>9</v>
      </c>
      <c r="E11" s="1" t="s">
        <v>23</v>
      </c>
      <c r="F11" s="1" t="s">
        <v>12</v>
      </c>
    </row>
    <row r="12" spans="1:6" ht="15.75" customHeight="1" x14ac:dyDescent="0.15">
      <c r="F12" s="2">
        <f>COUNTIF(F2:F11,"Yes")/COUNTA(F2:F11)</f>
        <v>0.7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outlinePr summaryBelow="0" summaryRight="0"/>
  </sheetPr>
  <dimension ref="A1:F11"/>
  <sheetViews>
    <sheetView workbookViewId="0"/>
  </sheetViews>
  <sheetFormatPr baseColWidth="10" defaultColWidth="12.6640625" defaultRowHeight="15.75" customHeight="1" x14ac:dyDescent="0.15"/>
  <sheetData>
    <row r="1" spans="1:6" ht="15.75" customHeight="1" x14ac:dyDescent="0.15">
      <c r="A1" s="1" t="s">
        <v>0</v>
      </c>
      <c r="B1" s="1" t="s">
        <v>158</v>
      </c>
      <c r="C1" s="1" t="s">
        <v>167</v>
      </c>
      <c r="D1" s="1" t="s">
        <v>222</v>
      </c>
      <c r="E1" s="1" t="s">
        <v>6</v>
      </c>
      <c r="F1" s="1" t="s">
        <v>7</v>
      </c>
    </row>
    <row r="2" spans="1:6" ht="15.75" customHeight="1" x14ac:dyDescent="0.15">
      <c r="A2" s="1" t="s">
        <v>26</v>
      </c>
      <c r="B2" s="1">
        <v>1</v>
      </c>
      <c r="C2" s="1" t="s">
        <v>223</v>
      </c>
      <c r="D2" s="1" t="s">
        <v>157</v>
      </c>
      <c r="E2" s="1" t="b">
        <v>1</v>
      </c>
      <c r="F2" s="1" t="s">
        <v>18</v>
      </c>
    </row>
    <row r="3" spans="1:6" ht="15.75" customHeight="1" x14ac:dyDescent="0.15">
      <c r="A3" s="1" t="s">
        <v>26</v>
      </c>
      <c r="B3" s="1" t="s">
        <v>224</v>
      </c>
      <c r="C3" s="1">
        <v>1</v>
      </c>
      <c r="D3" s="1" t="s">
        <v>142</v>
      </c>
      <c r="E3" s="1" t="b">
        <v>0</v>
      </c>
      <c r="F3" s="1" t="s">
        <v>18</v>
      </c>
    </row>
    <row r="4" spans="1:6" ht="15.75" customHeight="1" x14ac:dyDescent="0.15">
      <c r="A4" s="1" t="s">
        <v>8</v>
      </c>
      <c r="B4" s="1" t="s">
        <v>224</v>
      </c>
      <c r="C4" s="1" t="s">
        <v>224</v>
      </c>
      <c r="D4" s="1" t="s">
        <v>12</v>
      </c>
      <c r="E4" s="1" t="b">
        <v>0</v>
      </c>
      <c r="F4" s="1" t="s">
        <v>18</v>
      </c>
    </row>
    <row r="5" spans="1:6" ht="15.75" customHeight="1" x14ac:dyDescent="0.15">
      <c r="A5" s="1" t="s">
        <v>8</v>
      </c>
      <c r="B5" s="1" t="s">
        <v>224</v>
      </c>
      <c r="C5" s="1" t="s">
        <v>224</v>
      </c>
      <c r="D5" s="1" t="s">
        <v>18</v>
      </c>
      <c r="E5" s="1" t="b">
        <v>1</v>
      </c>
      <c r="F5" s="1" t="s">
        <v>18</v>
      </c>
    </row>
    <row r="6" spans="1:6" ht="15.75" customHeight="1" x14ac:dyDescent="0.15">
      <c r="A6" s="1" t="s">
        <v>8</v>
      </c>
      <c r="B6" s="1" t="s">
        <v>224</v>
      </c>
      <c r="C6" s="1" t="s">
        <v>225</v>
      </c>
      <c r="D6" s="1" t="s">
        <v>11</v>
      </c>
      <c r="E6" s="1" t="s">
        <v>11</v>
      </c>
      <c r="F6" s="1" t="s">
        <v>12</v>
      </c>
    </row>
    <row r="7" spans="1:6" ht="15.75" customHeight="1" x14ac:dyDescent="0.15">
      <c r="A7" s="1" t="s">
        <v>8</v>
      </c>
      <c r="B7" s="1" t="s">
        <v>225</v>
      </c>
      <c r="C7" s="1" t="s">
        <v>224</v>
      </c>
      <c r="D7" s="1" t="s">
        <v>11</v>
      </c>
      <c r="E7" s="1" t="s">
        <v>11</v>
      </c>
      <c r="F7" s="1" t="s">
        <v>12</v>
      </c>
    </row>
    <row r="8" spans="1:6" ht="15.75" customHeight="1" x14ac:dyDescent="0.15">
      <c r="A8" s="1" t="s">
        <v>8</v>
      </c>
      <c r="B8" s="1" t="s">
        <v>225</v>
      </c>
      <c r="C8" s="1" t="s">
        <v>225</v>
      </c>
      <c r="D8" s="1" t="s">
        <v>11</v>
      </c>
      <c r="E8" s="1" t="s">
        <v>11</v>
      </c>
      <c r="F8" s="1" t="s">
        <v>12</v>
      </c>
    </row>
    <row r="9" spans="1:6" ht="15.75" customHeight="1" x14ac:dyDescent="0.15">
      <c r="A9" s="1" t="s">
        <v>21</v>
      </c>
      <c r="B9" s="1" t="s">
        <v>47</v>
      </c>
      <c r="C9" s="1" t="s">
        <v>8</v>
      </c>
      <c r="D9" s="1" t="s">
        <v>9</v>
      </c>
      <c r="E9" s="1" t="s">
        <v>23</v>
      </c>
      <c r="F9" s="1" t="s">
        <v>12</v>
      </c>
    </row>
    <row r="10" spans="1:6" ht="15.75" customHeight="1" x14ac:dyDescent="0.15">
      <c r="A10" s="1" t="s">
        <v>21</v>
      </c>
      <c r="B10" s="1" t="s">
        <v>8</v>
      </c>
      <c r="C10" s="1" t="s">
        <v>47</v>
      </c>
      <c r="D10" s="1" t="s">
        <v>9</v>
      </c>
      <c r="E10" s="1" t="s">
        <v>23</v>
      </c>
      <c r="F10" s="1" t="s">
        <v>12</v>
      </c>
    </row>
    <row r="11" spans="1:6" ht="15.75" customHeight="1" x14ac:dyDescent="0.15">
      <c r="F11" s="2">
        <f>COUNTIF(F2:F10, "Yes")/COUNTA(F2:F10)</f>
        <v>0.44444444444444442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outlinePr summaryBelow="0" summaryRight="0"/>
  </sheetPr>
  <dimension ref="A1:F9"/>
  <sheetViews>
    <sheetView workbookViewId="0"/>
  </sheetViews>
  <sheetFormatPr baseColWidth="10" defaultColWidth="12.6640625" defaultRowHeight="15.75" customHeight="1" x14ac:dyDescent="0.15"/>
  <sheetData>
    <row r="1" spans="1:6" ht="15.75" customHeight="1" x14ac:dyDescent="0.15">
      <c r="A1" s="1" t="s">
        <v>0</v>
      </c>
      <c r="B1" s="1" t="s">
        <v>1</v>
      </c>
      <c r="C1" s="1" t="s">
        <v>226</v>
      </c>
      <c r="D1" s="1" t="s">
        <v>227</v>
      </c>
      <c r="E1" s="1" t="s">
        <v>6</v>
      </c>
      <c r="F1" s="1" t="s">
        <v>7</v>
      </c>
    </row>
    <row r="2" spans="1:6" ht="15.75" customHeight="1" x14ac:dyDescent="0.15">
      <c r="A2" s="1" t="s">
        <v>26</v>
      </c>
      <c r="B2" s="1" t="s">
        <v>31</v>
      </c>
      <c r="C2" s="1" t="s">
        <v>157</v>
      </c>
      <c r="D2" s="1" t="s">
        <v>228</v>
      </c>
      <c r="E2" s="1" t="b">
        <v>1</v>
      </c>
      <c r="F2" s="1" t="s">
        <v>18</v>
      </c>
    </row>
    <row r="3" spans="1:6" ht="15.75" customHeight="1" x14ac:dyDescent="0.15">
      <c r="A3" s="1" t="s">
        <v>26</v>
      </c>
      <c r="B3" s="1">
        <v>1</v>
      </c>
      <c r="C3" s="1" t="s">
        <v>157</v>
      </c>
      <c r="D3" s="1" t="s">
        <v>228</v>
      </c>
      <c r="E3" s="1" t="b">
        <v>1</v>
      </c>
      <c r="F3" s="1" t="s">
        <v>12</v>
      </c>
    </row>
    <row r="4" spans="1:6" ht="15.75" customHeight="1" x14ac:dyDescent="0.15">
      <c r="A4" s="1" t="s">
        <v>8</v>
      </c>
      <c r="B4" s="1" t="s">
        <v>14</v>
      </c>
      <c r="C4" s="1" t="s">
        <v>229</v>
      </c>
      <c r="D4" s="1" t="s">
        <v>228</v>
      </c>
      <c r="E4" s="1" t="b">
        <v>1</v>
      </c>
      <c r="F4" s="1" t="s">
        <v>12</v>
      </c>
    </row>
    <row r="5" spans="1:6" ht="15.75" customHeight="1" x14ac:dyDescent="0.15">
      <c r="A5" s="1" t="s">
        <v>8</v>
      </c>
      <c r="B5" s="1" t="s">
        <v>14</v>
      </c>
      <c r="C5" s="1" t="s">
        <v>12</v>
      </c>
      <c r="D5" s="1" t="s">
        <v>230</v>
      </c>
      <c r="E5" s="1" t="b">
        <v>1</v>
      </c>
      <c r="F5" s="1" t="s">
        <v>12</v>
      </c>
    </row>
    <row r="6" spans="1:6" ht="15.75" customHeight="1" x14ac:dyDescent="0.15">
      <c r="A6" s="1" t="s">
        <v>26</v>
      </c>
      <c r="B6" s="1" t="s">
        <v>14</v>
      </c>
      <c r="C6" s="1" t="s">
        <v>12</v>
      </c>
      <c r="D6" s="1" t="s">
        <v>231</v>
      </c>
      <c r="E6" s="1" t="b">
        <v>1</v>
      </c>
      <c r="F6" s="1" t="s">
        <v>18</v>
      </c>
    </row>
    <row r="7" spans="1:6" ht="15.75" customHeight="1" x14ac:dyDescent="0.15">
      <c r="A7" s="1" t="s">
        <v>8</v>
      </c>
      <c r="B7" s="1" t="s">
        <v>14</v>
      </c>
      <c r="C7" s="1" t="s">
        <v>12</v>
      </c>
      <c r="D7" s="1" t="s">
        <v>232</v>
      </c>
      <c r="E7" s="1" t="b">
        <v>0</v>
      </c>
      <c r="F7" s="1" t="s">
        <v>18</v>
      </c>
    </row>
    <row r="8" spans="1:6" ht="15.75" customHeight="1" x14ac:dyDescent="0.15">
      <c r="A8" s="1" t="s">
        <v>21</v>
      </c>
      <c r="B8" s="1" t="s">
        <v>233</v>
      </c>
      <c r="C8" s="1" t="s">
        <v>9</v>
      </c>
      <c r="D8" s="1" t="s">
        <v>9</v>
      </c>
      <c r="E8" s="1" t="s">
        <v>23</v>
      </c>
      <c r="F8" s="1" t="s">
        <v>12</v>
      </c>
    </row>
    <row r="9" spans="1:6" ht="15.75" customHeight="1" x14ac:dyDescent="0.15">
      <c r="F9" s="2">
        <f>COUNTIF(F2:F8,"Yes")/COUNTA(F2:F8)</f>
        <v>0.42857142857142855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outlinePr summaryBelow="0" summaryRight="0"/>
  </sheetPr>
  <dimension ref="A1:E10"/>
  <sheetViews>
    <sheetView workbookViewId="0"/>
  </sheetViews>
  <sheetFormatPr baseColWidth="10" defaultColWidth="12.6640625" defaultRowHeight="15.75" customHeight="1" x14ac:dyDescent="0.15"/>
  <sheetData>
    <row r="1" spans="1:5" ht="15.75" customHeight="1" x14ac:dyDescent="0.15">
      <c r="A1" s="1" t="s">
        <v>0</v>
      </c>
      <c r="B1" s="1" t="s">
        <v>193</v>
      </c>
      <c r="C1" s="1" t="s">
        <v>194</v>
      </c>
      <c r="D1" s="1" t="s">
        <v>6</v>
      </c>
      <c r="E1" s="1" t="s">
        <v>7</v>
      </c>
    </row>
    <row r="2" spans="1:5" ht="15.75" customHeight="1" x14ac:dyDescent="0.15">
      <c r="A2" s="1" t="s">
        <v>26</v>
      </c>
      <c r="B2" s="1" t="s">
        <v>234</v>
      </c>
      <c r="C2" s="1" t="s">
        <v>11</v>
      </c>
      <c r="D2" s="1" t="s">
        <v>18</v>
      </c>
      <c r="E2" s="1" t="s">
        <v>18</v>
      </c>
    </row>
    <row r="3" spans="1:5" ht="15.75" customHeight="1" x14ac:dyDescent="0.15">
      <c r="A3" s="1" t="s">
        <v>8</v>
      </c>
      <c r="B3" s="1" t="s">
        <v>235</v>
      </c>
      <c r="C3" s="1" t="s">
        <v>236</v>
      </c>
      <c r="D3" s="1" t="s">
        <v>12</v>
      </c>
      <c r="E3" s="1" t="s">
        <v>12</v>
      </c>
    </row>
    <row r="4" spans="1:5" ht="15.75" customHeight="1" x14ac:dyDescent="0.15">
      <c r="A4" s="1" t="s">
        <v>8</v>
      </c>
      <c r="B4" s="1" t="s">
        <v>235</v>
      </c>
      <c r="C4" s="1" t="s">
        <v>237</v>
      </c>
      <c r="D4" s="1" t="s">
        <v>12</v>
      </c>
      <c r="E4" s="1" t="s">
        <v>18</v>
      </c>
    </row>
    <row r="5" spans="1:5" ht="15.75" customHeight="1" x14ac:dyDescent="0.15">
      <c r="A5" s="1" t="s">
        <v>8</v>
      </c>
      <c r="B5" s="1" t="s">
        <v>235</v>
      </c>
      <c r="C5" s="1" t="s">
        <v>238</v>
      </c>
      <c r="D5" s="1" t="s">
        <v>12</v>
      </c>
      <c r="E5" s="1" t="s">
        <v>18</v>
      </c>
    </row>
    <row r="6" spans="1:5" ht="15.75" customHeight="1" x14ac:dyDescent="0.15">
      <c r="A6" s="1" t="s">
        <v>26</v>
      </c>
      <c r="B6" s="1" t="s">
        <v>235</v>
      </c>
      <c r="C6" s="1" t="s">
        <v>239</v>
      </c>
      <c r="D6" s="1" t="s">
        <v>18</v>
      </c>
      <c r="E6" s="1" t="s">
        <v>18</v>
      </c>
    </row>
    <row r="7" spans="1:5" ht="15.75" customHeight="1" x14ac:dyDescent="0.15">
      <c r="A7" s="1" t="s">
        <v>8</v>
      </c>
      <c r="B7" s="1" t="s">
        <v>235</v>
      </c>
      <c r="C7" s="1" t="s">
        <v>240</v>
      </c>
      <c r="D7" s="1" t="s">
        <v>18</v>
      </c>
      <c r="E7" s="1" t="s">
        <v>12</v>
      </c>
    </row>
    <row r="8" spans="1:5" ht="15.75" customHeight="1" x14ac:dyDescent="0.15">
      <c r="A8" s="1" t="s">
        <v>21</v>
      </c>
      <c r="B8" s="1" t="s">
        <v>241</v>
      </c>
      <c r="C8" s="1" t="s">
        <v>8</v>
      </c>
      <c r="D8" s="1" t="s">
        <v>23</v>
      </c>
      <c r="E8" s="1" t="s">
        <v>12</v>
      </c>
    </row>
    <row r="9" spans="1:5" ht="15.75" customHeight="1" x14ac:dyDescent="0.15">
      <c r="A9" s="1" t="s">
        <v>21</v>
      </c>
      <c r="B9" s="1" t="s">
        <v>8</v>
      </c>
      <c r="C9" s="1" t="s">
        <v>241</v>
      </c>
      <c r="D9" s="1" t="s">
        <v>23</v>
      </c>
      <c r="E9" s="1" t="s">
        <v>12</v>
      </c>
    </row>
    <row r="10" spans="1:5" ht="15.75" customHeight="1" x14ac:dyDescent="0.15">
      <c r="E10" s="2">
        <f>COUNTIF(E2:E9, "Yes")/COUNTA(E2:E9)</f>
        <v>0.5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outlinePr summaryBelow="0" summaryRight="0"/>
  </sheetPr>
  <dimension ref="A1:F21"/>
  <sheetViews>
    <sheetView workbookViewId="0"/>
  </sheetViews>
  <sheetFormatPr baseColWidth="10" defaultColWidth="12.6640625" defaultRowHeight="15.75" customHeight="1" x14ac:dyDescent="0.15"/>
  <sheetData>
    <row r="1" spans="1:6" ht="15.75" customHeight="1" x14ac:dyDescent="0.15">
      <c r="A1" s="1" t="s">
        <v>0</v>
      </c>
      <c r="B1" s="1" t="s">
        <v>28</v>
      </c>
      <c r="C1" s="1" t="s">
        <v>242</v>
      </c>
      <c r="D1" s="1" t="s">
        <v>243</v>
      </c>
      <c r="E1" s="1" t="s">
        <v>6</v>
      </c>
      <c r="F1" s="1" t="s">
        <v>7</v>
      </c>
    </row>
    <row r="2" spans="1:6" ht="15.75" customHeight="1" x14ac:dyDescent="0.15">
      <c r="A2" s="1" t="s">
        <v>8</v>
      </c>
      <c r="B2" s="1" t="s">
        <v>244</v>
      </c>
      <c r="E2" s="1" t="b">
        <v>0</v>
      </c>
      <c r="F2" s="1" t="s">
        <v>18</v>
      </c>
    </row>
    <row r="3" spans="1:6" ht="15.75" customHeight="1" x14ac:dyDescent="0.15">
      <c r="A3" s="1" t="s">
        <v>8</v>
      </c>
      <c r="B3" s="1" t="s">
        <v>8</v>
      </c>
      <c r="C3" s="1" t="s">
        <v>245</v>
      </c>
      <c r="D3" s="1" t="s">
        <v>246</v>
      </c>
      <c r="E3" s="1" t="b">
        <v>1</v>
      </c>
      <c r="F3" s="1" t="s">
        <v>18</v>
      </c>
    </row>
    <row r="4" spans="1:6" ht="15.75" customHeight="1" x14ac:dyDescent="0.15">
      <c r="A4" s="1" t="s">
        <v>8</v>
      </c>
      <c r="D4" s="1" t="s">
        <v>247</v>
      </c>
      <c r="E4" s="1" t="b">
        <v>0</v>
      </c>
      <c r="F4" s="1" t="s">
        <v>12</v>
      </c>
    </row>
    <row r="5" spans="1:6" ht="15.75" customHeight="1" x14ac:dyDescent="0.15">
      <c r="A5" s="1" t="s">
        <v>8</v>
      </c>
      <c r="B5" s="1" t="s">
        <v>8</v>
      </c>
      <c r="C5" s="1" t="s">
        <v>248</v>
      </c>
      <c r="D5" s="1" t="s">
        <v>249</v>
      </c>
      <c r="E5" s="1" t="b">
        <v>1</v>
      </c>
      <c r="F5" s="1" t="s">
        <v>18</v>
      </c>
    </row>
    <row r="6" spans="1:6" ht="15.75" customHeight="1" x14ac:dyDescent="0.15">
      <c r="A6" s="1" t="s">
        <v>8</v>
      </c>
      <c r="D6" s="1" t="s">
        <v>250</v>
      </c>
      <c r="E6" s="1" t="b">
        <v>0</v>
      </c>
      <c r="F6" s="1" t="s">
        <v>18</v>
      </c>
    </row>
    <row r="7" spans="1:6" ht="15.75" customHeight="1" x14ac:dyDescent="0.15">
      <c r="A7" s="1" t="s">
        <v>8</v>
      </c>
      <c r="B7" s="1" t="s">
        <v>8</v>
      </c>
      <c r="C7" s="1" t="s">
        <v>251</v>
      </c>
      <c r="D7" s="4" t="s">
        <v>252</v>
      </c>
      <c r="E7" s="1" t="b">
        <v>1</v>
      </c>
      <c r="F7" s="1" t="s">
        <v>12</v>
      </c>
    </row>
    <row r="8" spans="1:6" ht="15.75" customHeight="1" x14ac:dyDescent="0.15">
      <c r="A8" s="1" t="s">
        <v>8</v>
      </c>
      <c r="D8" s="1" t="s">
        <v>250</v>
      </c>
      <c r="E8" s="1" t="b">
        <v>0</v>
      </c>
      <c r="F8" s="1" t="s">
        <v>18</v>
      </c>
    </row>
    <row r="9" spans="1:6" ht="15.75" customHeight="1" x14ac:dyDescent="0.15">
      <c r="A9" s="1" t="s">
        <v>8</v>
      </c>
      <c r="B9" s="1" t="s">
        <v>8</v>
      </c>
      <c r="D9" s="4" t="s">
        <v>253</v>
      </c>
      <c r="E9" s="1" t="b">
        <v>0</v>
      </c>
      <c r="F9" s="1" t="s">
        <v>18</v>
      </c>
    </row>
    <row r="10" spans="1:6" ht="15.75" customHeight="1" x14ac:dyDescent="0.15">
      <c r="A10" s="1" t="s">
        <v>8</v>
      </c>
      <c r="B10" s="1" t="s">
        <v>8</v>
      </c>
      <c r="C10" s="4" t="s">
        <v>253</v>
      </c>
      <c r="E10" s="1" t="b">
        <v>0</v>
      </c>
      <c r="F10" s="1" t="s">
        <v>12</v>
      </c>
    </row>
    <row r="11" spans="1:6" ht="15.75" customHeight="1" x14ac:dyDescent="0.15">
      <c r="A11" s="1" t="s">
        <v>8</v>
      </c>
      <c r="B11" s="1" t="s">
        <v>8</v>
      </c>
      <c r="C11" s="1" t="s">
        <v>254</v>
      </c>
      <c r="E11" s="1" t="b">
        <v>0</v>
      </c>
      <c r="F11" s="1" t="s">
        <v>18</v>
      </c>
    </row>
    <row r="12" spans="1:6" ht="15.75" customHeight="1" x14ac:dyDescent="0.15">
      <c r="A12" s="1" t="s">
        <v>8</v>
      </c>
      <c r="B12" s="1" t="s">
        <v>83</v>
      </c>
      <c r="E12" s="1" t="b">
        <v>0</v>
      </c>
      <c r="F12" s="1" t="s">
        <v>18</v>
      </c>
    </row>
    <row r="13" spans="1:6" ht="15.75" customHeight="1" x14ac:dyDescent="0.15">
      <c r="A13" s="1" t="s">
        <v>21</v>
      </c>
      <c r="B13" s="1" t="s">
        <v>38</v>
      </c>
      <c r="E13" s="1" t="s">
        <v>23</v>
      </c>
      <c r="F13" s="1" t="s">
        <v>12</v>
      </c>
    </row>
    <row r="14" spans="1:6" ht="15.75" customHeight="1" x14ac:dyDescent="0.15">
      <c r="A14" s="1" t="s">
        <v>21</v>
      </c>
      <c r="B14" s="1" t="s">
        <v>124</v>
      </c>
      <c r="E14" s="1" t="s">
        <v>23</v>
      </c>
      <c r="F14" s="1" t="s">
        <v>12</v>
      </c>
    </row>
    <row r="15" spans="1:6" ht="15.75" customHeight="1" x14ac:dyDescent="0.15">
      <c r="A15" s="1" t="s">
        <v>26</v>
      </c>
      <c r="B15" s="1" t="s">
        <v>8</v>
      </c>
      <c r="C15" s="4" t="s">
        <v>255</v>
      </c>
      <c r="D15" s="1">
        <v>31</v>
      </c>
      <c r="E15" s="1" t="b">
        <v>1</v>
      </c>
      <c r="F15" s="1" t="s">
        <v>12</v>
      </c>
    </row>
    <row r="16" spans="1:6" ht="15.75" customHeight="1" x14ac:dyDescent="0.15">
      <c r="A16" s="1" t="s">
        <v>26</v>
      </c>
      <c r="B16" s="1" t="s">
        <v>8</v>
      </c>
      <c r="C16" s="4" t="s">
        <v>256</v>
      </c>
      <c r="D16" s="1">
        <v>31</v>
      </c>
      <c r="E16" s="1" t="b">
        <v>0</v>
      </c>
      <c r="F16" s="1" t="s">
        <v>18</v>
      </c>
    </row>
    <row r="17" spans="1:6" ht="15.75" customHeight="1" x14ac:dyDescent="0.15">
      <c r="A17" s="1" t="s">
        <v>26</v>
      </c>
      <c r="B17" s="1" t="s">
        <v>8</v>
      </c>
      <c r="C17" s="4" t="s">
        <v>256</v>
      </c>
      <c r="D17" s="1">
        <v>30</v>
      </c>
      <c r="E17" s="1" t="b">
        <v>1</v>
      </c>
      <c r="F17" s="1" t="s">
        <v>12</v>
      </c>
    </row>
    <row r="18" spans="1:6" ht="15.75" customHeight="1" x14ac:dyDescent="0.15">
      <c r="A18" s="1" t="s">
        <v>26</v>
      </c>
      <c r="B18" s="1" t="s">
        <v>8</v>
      </c>
      <c r="C18" s="4" t="s">
        <v>257</v>
      </c>
      <c r="D18" s="1">
        <v>31</v>
      </c>
      <c r="E18" s="1" t="b">
        <v>0</v>
      </c>
      <c r="F18" s="1" t="s">
        <v>12</v>
      </c>
    </row>
    <row r="19" spans="1:6" ht="15.75" customHeight="1" x14ac:dyDescent="0.15">
      <c r="A19" s="1" t="s">
        <v>26</v>
      </c>
      <c r="B19" s="1" t="s">
        <v>8</v>
      </c>
      <c r="C19" s="4" t="s">
        <v>257</v>
      </c>
      <c r="D19" s="1">
        <v>30</v>
      </c>
      <c r="E19" s="1" t="b">
        <v>0</v>
      </c>
      <c r="F19" s="1" t="s">
        <v>12</v>
      </c>
    </row>
    <row r="20" spans="1:6" ht="15.75" customHeight="1" x14ac:dyDescent="0.15">
      <c r="A20" s="1" t="s">
        <v>26</v>
      </c>
      <c r="B20" s="1" t="s">
        <v>8</v>
      </c>
      <c r="C20" s="4" t="s">
        <v>257</v>
      </c>
      <c r="D20" s="1">
        <v>29</v>
      </c>
      <c r="E20" s="1" t="b">
        <v>1</v>
      </c>
      <c r="F20" s="1" t="s">
        <v>12</v>
      </c>
    </row>
    <row r="21" spans="1:6" ht="15.75" customHeight="1" x14ac:dyDescent="0.15">
      <c r="F21" s="2">
        <f>COUNTIF(F2:F20, "Yes")/COUNTA(F2:F20)</f>
        <v>0.47368421052631576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outlinePr summaryBelow="0" summaryRight="0"/>
  </sheetPr>
  <dimension ref="A1:G12"/>
  <sheetViews>
    <sheetView workbookViewId="0"/>
  </sheetViews>
  <sheetFormatPr baseColWidth="10" defaultColWidth="12.6640625" defaultRowHeight="15.75" customHeight="1" x14ac:dyDescent="0.15"/>
  <sheetData>
    <row r="1" spans="1:7" ht="15.75" customHeight="1" x14ac:dyDescent="0.15">
      <c r="A1" s="1" t="s">
        <v>0</v>
      </c>
      <c r="B1" s="1" t="s">
        <v>258</v>
      </c>
      <c r="C1" s="1" t="s">
        <v>259</v>
      </c>
      <c r="D1" s="1" t="s">
        <v>260</v>
      </c>
      <c r="E1" s="1" t="s">
        <v>261</v>
      </c>
      <c r="F1" s="1" t="s">
        <v>6</v>
      </c>
      <c r="G1" s="1" t="s">
        <v>262</v>
      </c>
    </row>
    <row r="2" spans="1:7" ht="15.75" customHeight="1" x14ac:dyDescent="0.15">
      <c r="A2" s="1" t="s">
        <v>26</v>
      </c>
      <c r="B2" s="1" t="s">
        <v>263</v>
      </c>
      <c r="C2" s="1">
        <v>1</v>
      </c>
      <c r="D2" s="1" t="s">
        <v>263</v>
      </c>
      <c r="E2" s="1" t="s">
        <v>264</v>
      </c>
      <c r="F2" s="1" t="s">
        <v>265</v>
      </c>
      <c r="G2" s="1" t="s">
        <v>18</v>
      </c>
    </row>
    <row r="3" spans="1:7" ht="15.75" customHeight="1" x14ac:dyDescent="0.15">
      <c r="A3" s="1" t="s">
        <v>8</v>
      </c>
      <c r="B3" s="1" t="s">
        <v>146</v>
      </c>
      <c r="C3" s="1">
        <v>2</v>
      </c>
      <c r="D3" s="1" t="s">
        <v>263</v>
      </c>
      <c r="E3" s="1" t="s">
        <v>266</v>
      </c>
      <c r="F3" s="1" t="s">
        <v>267</v>
      </c>
      <c r="G3" s="1" t="s">
        <v>12</v>
      </c>
    </row>
    <row r="4" spans="1:7" ht="15.75" customHeight="1" x14ac:dyDescent="0.15">
      <c r="A4" s="1" t="s">
        <v>8</v>
      </c>
      <c r="B4" s="1" t="s">
        <v>188</v>
      </c>
      <c r="C4" s="1" t="s">
        <v>154</v>
      </c>
      <c r="D4" s="1" t="s">
        <v>268</v>
      </c>
      <c r="E4" s="1" t="s">
        <v>269</v>
      </c>
      <c r="F4" s="1" t="s">
        <v>270</v>
      </c>
      <c r="G4" s="1" t="s">
        <v>18</v>
      </c>
    </row>
    <row r="5" spans="1:7" ht="15.75" customHeight="1" x14ac:dyDescent="0.15">
      <c r="A5" s="1" t="s">
        <v>8</v>
      </c>
      <c r="B5" s="1" t="s">
        <v>263</v>
      </c>
      <c r="C5" s="1" t="s">
        <v>154</v>
      </c>
      <c r="D5" s="1" t="s">
        <v>263</v>
      </c>
      <c r="E5" s="1" t="s">
        <v>269</v>
      </c>
      <c r="F5" s="1" t="s">
        <v>271</v>
      </c>
      <c r="G5" s="1" t="s">
        <v>18</v>
      </c>
    </row>
    <row r="6" spans="1:7" ht="15.75" customHeight="1" x14ac:dyDescent="0.15">
      <c r="A6" s="1" t="s">
        <v>8</v>
      </c>
      <c r="B6" s="1" t="s">
        <v>263</v>
      </c>
      <c r="C6" s="1" t="s">
        <v>272</v>
      </c>
      <c r="D6" s="1" t="s">
        <v>263</v>
      </c>
      <c r="E6" s="1" t="s">
        <v>273</v>
      </c>
      <c r="F6" s="1" t="s">
        <v>271</v>
      </c>
      <c r="G6" s="1" t="s">
        <v>18</v>
      </c>
    </row>
    <row r="7" spans="1:7" ht="15.75" customHeight="1" x14ac:dyDescent="0.15">
      <c r="A7" s="1" t="s">
        <v>21</v>
      </c>
      <c r="B7" s="1" t="s">
        <v>274</v>
      </c>
      <c r="F7" s="1" t="s">
        <v>23</v>
      </c>
      <c r="G7" s="1" t="s">
        <v>12</v>
      </c>
    </row>
    <row r="8" spans="1:7" ht="15.75" customHeight="1" x14ac:dyDescent="0.15">
      <c r="A8" s="1" t="s">
        <v>21</v>
      </c>
      <c r="B8" s="1" t="s">
        <v>275</v>
      </c>
      <c r="F8" s="1" t="s">
        <v>23</v>
      </c>
      <c r="G8" s="1" t="s">
        <v>12</v>
      </c>
    </row>
    <row r="9" spans="1:7" ht="15.75" customHeight="1" x14ac:dyDescent="0.15">
      <c r="A9" s="1" t="s">
        <v>21</v>
      </c>
      <c r="B9" s="1" t="s">
        <v>8</v>
      </c>
      <c r="C9" s="1" t="s">
        <v>276</v>
      </c>
      <c r="F9" s="1" t="s">
        <v>23</v>
      </c>
      <c r="G9" s="1" t="s">
        <v>12</v>
      </c>
    </row>
    <row r="10" spans="1:7" ht="15.75" customHeight="1" x14ac:dyDescent="0.15">
      <c r="A10" s="1" t="s">
        <v>21</v>
      </c>
      <c r="B10" s="1" t="s">
        <v>277</v>
      </c>
      <c r="F10" s="1" t="s">
        <v>23</v>
      </c>
      <c r="G10" s="1" t="s">
        <v>12</v>
      </c>
    </row>
    <row r="11" spans="1:7" ht="15.75" customHeight="1" x14ac:dyDescent="0.15">
      <c r="A11" s="1" t="s">
        <v>21</v>
      </c>
      <c r="B11" s="1" t="s">
        <v>278</v>
      </c>
      <c r="F11" s="1" t="s">
        <v>23</v>
      </c>
      <c r="G11" s="1" t="s">
        <v>12</v>
      </c>
    </row>
    <row r="12" spans="1:7" ht="15.75" customHeight="1" x14ac:dyDescent="0.15">
      <c r="G12" s="2">
        <f>COUNTIF(G2:G11, "Yes")/COUNTA(G2:G11)</f>
        <v>0.4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outlinePr summaryBelow="0" summaryRight="0"/>
  </sheetPr>
  <dimension ref="A1:E9"/>
  <sheetViews>
    <sheetView workbookViewId="0"/>
  </sheetViews>
  <sheetFormatPr baseColWidth="10" defaultColWidth="12.6640625" defaultRowHeight="15.75" customHeight="1" x14ac:dyDescent="0.15"/>
  <sheetData>
    <row r="1" spans="1:5" ht="15.75" customHeight="1" x14ac:dyDescent="0.15">
      <c r="A1" s="1" t="s">
        <v>0</v>
      </c>
      <c r="B1" s="1" t="s">
        <v>279</v>
      </c>
      <c r="C1" s="1" t="s">
        <v>280</v>
      </c>
      <c r="D1" s="1" t="s">
        <v>6</v>
      </c>
      <c r="E1" s="1" t="s">
        <v>262</v>
      </c>
    </row>
    <row r="2" spans="1:5" ht="15.75" customHeight="1" x14ac:dyDescent="0.15">
      <c r="A2" s="1" t="s">
        <v>8</v>
      </c>
      <c r="B2" s="1">
        <v>0</v>
      </c>
      <c r="C2" s="1" t="s">
        <v>9</v>
      </c>
      <c r="D2" s="1" t="s">
        <v>281</v>
      </c>
      <c r="E2" s="1" t="s">
        <v>18</v>
      </c>
    </row>
    <row r="3" spans="1:5" ht="15.75" customHeight="1" x14ac:dyDescent="0.15">
      <c r="A3" s="1" t="s">
        <v>8</v>
      </c>
      <c r="B3" s="1">
        <v>1</v>
      </c>
      <c r="C3" s="1" t="s">
        <v>263</v>
      </c>
      <c r="D3" s="1" t="s">
        <v>282</v>
      </c>
      <c r="E3" s="1" t="s">
        <v>12</v>
      </c>
    </row>
    <row r="4" spans="1:5" ht="15.75" customHeight="1" x14ac:dyDescent="0.15">
      <c r="A4" s="1" t="s">
        <v>26</v>
      </c>
      <c r="B4" s="1">
        <v>2</v>
      </c>
      <c r="C4" s="1" t="s">
        <v>263</v>
      </c>
      <c r="D4" s="1" t="s">
        <v>282</v>
      </c>
      <c r="E4" s="1" t="s">
        <v>18</v>
      </c>
    </row>
    <row r="5" spans="1:5" ht="15.75" customHeight="1" x14ac:dyDescent="0.15">
      <c r="A5" s="1" t="s">
        <v>8</v>
      </c>
      <c r="B5" s="1" t="s">
        <v>154</v>
      </c>
      <c r="C5" s="1" t="s">
        <v>283</v>
      </c>
      <c r="D5" s="1" t="s">
        <v>282</v>
      </c>
      <c r="E5" s="1" t="s">
        <v>18</v>
      </c>
    </row>
    <row r="6" spans="1:5" ht="15.75" customHeight="1" x14ac:dyDescent="0.15">
      <c r="A6" s="1" t="s">
        <v>8</v>
      </c>
      <c r="B6" s="1" t="s">
        <v>154</v>
      </c>
      <c r="C6" s="1" t="s">
        <v>284</v>
      </c>
      <c r="D6" s="1" t="s">
        <v>285</v>
      </c>
      <c r="E6" s="1" t="s">
        <v>18</v>
      </c>
    </row>
    <row r="7" spans="1:5" ht="15.75" customHeight="1" x14ac:dyDescent="0.15">
      <c r="A7" s="1" t="s">
        <v>8</v>
      </c>
      <c r="B7" s="1" t="s">
        <v>154</v>
      </c>
      <c r="C7" s="1" t="s">
        <v>286</v>
      </c>
      <c r="D7" s="1" t="s">
        <v>287</v>
      </c>
      <c r="E7" s="1" t="s">
        <v>18</v>
      </c>
    </row>
    <row r="8" spans="1:5" ht="15.75" customHeight="1" x14ac:dyDescent="0.15">
      <c r="A8" s="1" t="s">
        <v>21</v>
      </c>
      <c r="B8" s="1" t="s">
        <v>288</v>
      </c>
      <c r="D8" s="1" t="s">
        <v>23</v>
      </c>
      <c r="E8" s="1" t="s">
        <v>12</v>
      </c>
    </row>
    <row r="9" spans="1:5" ht="15.75" customHeight="1" x14ac:dyDescent="0.15">
      <c r="E9" s="2">
        <f>COUNTIF(E2:E8, "Yes")/COUNTA(E2:E8)</f>
        <v>0.7142857142857143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outlinePr summaryBelow="0" summaryRight="0"/>
  </sheetPr>
  <dimension ref="A1:G13"/>
  <sheetViews>
    <sheetView workbookViewId="0"/>
  </sheetViews>
  <sheetFormatPr baseColWidth="10" defaultColWidth="12.6640625" defaultRowHeight="15.75" customHeight="1" x14ac:dyDescent="0.15"/>
  <sheetData>
    <row r="1" spans="1:7" ht="15.75" customHeight="1" x14ac:dyDescent="0.15">
      <c r="A1" s="1" t="s">
        <v>0</v>
      </c>
      <c r="B1" s="1" t="s">
        <v>289</v>
      </c>
      <c r="C1" s="1" t="s">
        <v>290</v>
      </c>
      <c r="D1" s="1" t="s">
        <v>118</v>
      </c>
      <c r="E1" s="1" t="s">
        <v>291</v>
      </c>
      <c r="F1" s="1" t="s">
        <v>6</v>
      </c>
      <c r="G1" s="1" t="s">
        <v>262</v>
      </c>
    </row>
    <row r="2" spans="1:7" ht="15.75" customHeight="1" x14ac:dyDescent="0.15">
      <c r="A2" s="1" t="s">
        <v>8</v>
      </c>
      <c r="B2" s="1" t="s">
        <v>292</v>
      </c>
      <c r="C2" s="1">
        <v>1</v>
      </c>
      <c r="D2" s="1" t="s">
        <v>8</v>
      </c>
      <c r="E2" s="1" t="s">
        <v>8</v>
      </c>
      <c r="F2" s="1" t="s">
        <v>18</v>
      </c>
      <c r="G2" s="1" t="s">
        <v>18</v>
      </c>
    </row>
    <row r="3" spans="1:7" ht="15.75" customHeight="1" x14ac:dyDescent="0.15">
      <c r="A3" s="1" t="s">
        <v>8</v>
      </c>
      <c r="B3" s="1" t="s">
        <v>293</v>
      </c>
      <c r="C3" s="1">
        <v>1</v>
      </c>
      <c r="D3" s="1" t="s">
        <v>8</v>
      </c>
      <c r="E3" s="1" t="s">
        <v>8</v>
      </c>
      <c r="F3" s="1" t="s">
        <v>12</v>
      </c>
      <c r="G3" s="1" t="s">
        <v>18</v>
      </c>
    </row>
    <row r="4" spans="1:7" ht="15.75" customHeight="1" x14ac:dyDescent="0.15">
      <c r="A4" s="1" t="s">
        <v>26</v>
      </c>
      <c r="B4" s="1" t="s">
        <v>292</v>
      </c>
      <c r="C4" s="1">
        <v>0</v>
      </c>
      <c r="D4" s="1" t="s">
        <v>9</v>
      </c>
      <c r="E4" s="1" t="s">
        <v>9</v>
      </c>
      <c r="F4" s="1" t="s">
        <v>12</v>
      </c>
      <c r="G4" s="1" t="s">
        <v>18</v>
      </c>
    </row>
    <row r="5" spans="1:7" ht="15.75" customHeight="1" x14ac:dyDescent="0.15">
      <c r="A5" s="1" t="s">
        <v>8</v>
      </c>
      <c r="B5" s="1" t="s">
        <v>292</v>
      </c>
      <c r="C5" s="1" t="s">
        <v>294</v>
      </c>
      <c r="D5" s="1" t="s">
        <v>9</v>
      </c>
      <c r="E5" s="1" t="s">
        <v>9</v>
      </c>
      <c r="F5" s="1" t="s">
        <v>12</v>
      </c>
      <c r="G5" s="1" t="s">
        <v>18</v>
      </c>
    </row>
    <row r="6" spans="1:7" ht="15.75" customHeight="1" x14ac:dyDescent="0.15">
      <c r="A6" s="1" t="s">
        <v>8</v>
      </c>
      <c r="B6" s="1" t="s">
        <v>292</v>
      </c>
      <c r="C6" s="1">
        <v>1</v>
      </c>
      <c r="D6" s="1" t="s">
        <v>31</v>
      </c>
      <c r="E6" s="1" t="s">
        <v>8</v>
      </c>
      <c r="F6" s="1" t="s">
        <v>12</v>
      </c>
      <c r="G6" s="1" t="s">
        <v>12</v>
      </c>
    </row>
    <row r="7" spans="1:7" ht="15.75" customHeight="1" x14ac:dyDescent="0.15">
      <c r="A7" s="1" t="s">
        <v>8</v>
      </c>
      <c r="B7" s="1" t="s">
        <v>292</v>
      </c>
      <c r="C7" s="1">
        <v>1</v>
      </c>
      <c r="D7" s="1" t="s">
        <v>295</v>
      </c>
      <c r="E7" s="1" t="s">
        <v>8</v>
      </c>
      <c r="F7" s="1" t="s">
        <v>12</v>
      </c>
      <c r="G7" s="1" t="s">
        <v>18</v>
      </c>
    </row>
    <row r="8" spans="1:7" ht="15.75" customHeight="1" x14ac:dyDescent="0.15">
      <c r="A8" s="1" t="s">
        <v>8</v>
      </c>
      <c r="B8" s="1" t="s">
        <v>292</v>
      </c>
      <c r="C8" s="1">
        <v>1</v>
      </c>
      <c r="D8" s="1" t="s">
        <v>8</v>
      </c>
      <c r="E8" s="1" t="s">
        <v>31</v>
      </c>
      <c r="F8" s="1" t="s">
        <v>12</v>
      </c>
      <c r="G8" s="1" t="s">
        <v>18</v>
      </c>
    </row>
    <row r="9" spans="1:7" ht="15.75" customHeight="1" x14ac:dyDescent="0.15">
      <c r="A9" s="1" t="s">
        <v>8</v>
      </c>
      <c r="B9" s="1" t="s">
        <v>292</v>
      </c>
      <c r="C9" s="1">
        <v>1</v>
      </c>
      <c r="D9" s="1" t="s">
        <v>8</v>
      </c>
      <c r="E9" s="1" t="s">
        <v>21</v>
      </c>
      <c r="F9" s="1" t="s">
        <v>12</v>
      </c>
      <c r="G9" s="1" t="s">
        <v>18</v>
      </c>
    </row>
    <row r="10" spans="1:7" ht="15.75" customHeight="1" x14ac:dyDescent="0.15">
      <c r="A10" s="1" t="s">
        <v>8</v>
      </c>
      <c r="B10" s="1" t="s">
        <v>292</v>
      </c>
      <c r="C10" s="1">
        <v>1</v>
      </c>
      <c r="D10" s="1" t="s">
        <v>8</v>
      </c>
      <c r="E10" s="1" t="s">
        <v>296</v>
      </c>
      <c r="F10" s="1" t="s">
        <v>12</v>
      </c>
      <c r="G10" s="1" t="s">
        <v>12</v>
      </c>
    </row>
    <row r="11" spans="1:7" ht="15.75" customHeight="1" x14ac:dyDescent="0.15">
      <c r="A11" s="1" t="s">
        <v>26</v>
      </c>
      <c r="B11" s="1" t="s">
        <v>292</v>
      </c>
      <c r="C11" s="1">
        <v>1</v>
      </c>
      <c r="D11" s="1" t="s">
        <v>297</v>
      </c>
      <c r="E11" s="1" t="s">
        <v>8</v>
      </c>
      <c r="F11" s="1" t="s">
        <v>18</v>
      </c>
      <c r="G11" s="1" t="s">
        <v>18</v>
      </c>
    </row>
    <row r="12" spans="1:7" ht="15.75" customHeight="1" x14ac:dyDescent="0.15">
      <c r="A12" s="1" t="s">
        <v>21</v>
      </c>
      <c r="B12" s="1" t="s">
        <v>288</v>
      </c>
      <c r="F12" s="1" t="s">
        <v>23</v>
      </c>
      <c r="G12" s="1" t="s">
        <v>12</v>
      </c>
    </row>
    <row r="13" spans="1:7" ht="15.75" customHeight="1" x14ac:dyDescent="0.15">
      <c r="G13" s="2">
        <f>COUNTIF(G2:G12,"Yes")/COUNTA(G2:G12)</f>
        <v>0.72727272727272729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outlinePr summaryBelow="0" summaryRight="0"/>
  </sheetPr>
  <dimension ref="A1:D18"/>
  <sheetViews>
    <sheetView workbookViewId="0"/>
  </sheetViews>
  <sheetFormatPr baseColWidth="10" defaultColWidth="12.6640625" defaultRowHeight="15.75" customHeight="1" x14ac:dyDescent="0.15"/>
  <sheetData>
    <row r="1" spans="1:4" ht="15.75" customHeight="1" x14ac:dyDescent="0.15">
      <c r="A1" s="1" t="s">
        <v>0</v>
      </c>
      <c r="B1" s="1" t="s">
        <v>298</v>
      </c>
      <c r="C1" s="1" t="s">
        <v>6</v>
      </c>
      <c r="D1" s="1" t="s">
        <v>262</v>
      </c>
    </row>
    <row r="2" spans="1:4" ht="15.75" customHeight="1" x14ac:dyDescent="0.15">
      <c r="A2" s="1" t="s">
        <v>8</v>
      </c>
      <c r="B2" s="5">
        <v>46082</v>
      </c>
      <c r="C2" s="1" t="s">
        <v>299</v>
      </c>
      <c r="D2" s="1" t="s">
        <v>18</v>
      </c>
    </row>
    <row r="3" spans="1:4" ht="15.75" customHeight="1" x14ac:dyDescent="0.15">
      <c r="A3" s="1" t="s">
        <v>26</v>
      </c>
      <c r="B3" s="1">
        <v>4</v>
      </c>
      <c r="C3" s="1" t="s">
        <v>300</v>
      </c>
      <c r="D3" s="1" t="s">
        <v>18</v>
      </c>
    </row>
    <row r="4" spans="1:4" ht="15.75" customHeight="1" x14ac:dyDescent="0.15">
      <c r="A4" s="1" t="s">
        <v>8</v>
      </c>
      <c r="B4" s="5">
        <v>46239</v>
      </c>
      <c r="C4" s="1" t="s">
        <v>301</v>
      </c>
      <c r="D4" s="1" t="s">
        <v>12</v>
      </c>
    </row>
    <row r="5" spans="1:4" ht="15.75" customHeight="1" x14ac:dyDescent="0.15">
      <c r="A5" s="1" t="s">
        <v>26</v>
      </c>
      <c r="B5" s="1">
        <v>9</v>
      </c>
      <c r="C5" s="1" t="s">
        <v>302</v>
      </c>
      <c r="D5" s="1" t="s">
        <v>12</v>
      </c>
    </row>
    <row r="6" spans="1:4" ht="15.75" customHeight="1" x14ac:dyDescent="0.15">
      <c r="A6" s="1" t="s">
        <v>8</v>
      </c>
      <c r="B6" s="1" t="s">
        <v>303</v>
      </c>
      <c r="C6" s="1" t="s">
        <v>304</v>
      </c>
      <c r="D6" s="1" t="s">
        <v>18</v>
      </c>
    </row>
    <row r="7" spans="1:4" ht="15.75" customHeight="1" x14ac:dyDescent="0.15">
      <c r="A7" s="1" t="s">
        <v>8</v>
      </c>
      <c r="B7" s="1" t="s">
        <v>305</v>
      </c>
      <c r="C7" s="1" t="s">
        <v>306</v>
      </c>
      <c r="D7" s="1" t="s">
        <v>18</v>
      </c>
    </row>
    <row r="8" spans="1:4" ht="15.75" customHeight="1" x14ac:dyDescent="0.15">
      <c r="A8" s="1" t="s">
        <v>8</v>
      </c>
      <c r="B8" s="1" t="s">
        <v>307</v>
      </c>
      <c r="C8" s="1" t="s">
        <v>308</v>
      </c>
      <c r="D8" s="1" t="s">
        <v>12</v>
      </c>
    </row>
    <row r="9" spans="1:4" ht="15.75" customHeight="1" x14ac:dyDescent="0.15">
      <c r="A9" s="1" t="s">
        <v>8</v>
      </c>
      <c r="B9" s="1" t="s">
        <v>309</v>
      </c>
      <c r="C9" s="1" t="s">
        <v>310</v>
      </c>
      <c r="D9" s="1" t="s">
        <v>18</v>
      </c>
    </row>
    <row r="10" spans="1:4" ht="15.75" customHeight="1" x14ac:dyDescent="0.15">
      <c r="A10" s="1" t="s">
        <v>8</v>
      </c>
      <c r="B10" s="1" t="s">
        <v>311</v>
      </c>
      <c r="C10" s="1" t="s">
        <v>312</v>
      </c>
      <c r="D10" s="1" t="s">
        <v>18</v>
      </c>
    </row>
    <row r="11" spans="1:4" ht="15.75" customHeight="1" x14ac:dyDescent="0.15">
      <c r="A11" s="1" t="s">
        <v>8</v>
      </c>
      <c r="B11" s="1" t="s">
        <v>313</v>
      </c>
      <c r="C11" s="1" t="s">
        <v>314</v>
      </c>
      <c r="D11" s="1" t="s">
        <v>18</v>
      </c>
    </row>
    <row r="12" spans="1:4" ht="15.75" customHeight="1" x14ac:dyDescent="0.15">
      <c r="A12" s="1" t="s">
        <v>8</v>
      </c>
      <c r="B12" s="1" t="s">
        <v>315</v>
      </c>
      <c r="C12" s="1" t="s">
        <v>316</v>
      </c>
      <c r="D12" s="1" t="s">
        <v>18</v>
      </c>
    </row>
    <row r="13" spans="1:4" ht="15.75" customHeight="1" x14ac:dyDescent="0.15">
      <c r="A13" s="1" t="s">
        <v>8</v>
      </c>
      <c r="B13" s="1" t="s">
        <v>317</v>
      </c>
      <c r="C13" s="1" t="s">
        <v>318</v>
      </c>
      <c r="D13" s="1" t="s">
        <v>18</v>
      </c>
    </row>
    <row r="14" spans="1:4" ht="15.75" customHeight="1" x14ac:dyDescent="0.15">
      <c r="A14" s="1" t="s">
        <v>26</v>
      </c>
      <c r="B14" s="1">
        <v>1000</v>
      </c>
      <c r="C14" s="1" t="s">
        <v>319</v>
      </c>
      <c r="D14" s="1" t="s">
        <v>18</v>
      </c>
    </row>
    <row r="15" spans="1:4" ht="15.75" customHeight="1" x14ac:dyDescent="0.15">
      <c r="A15" s="1" t="s">
        <v>21</v>
      </c>
      <c r="B15" s="1" t="s">
        <v>320</v>
      </c>
      <c r="C15" s="1" t="s">
        <v>23</v>
      </c>
      <c r="D15" s="1" t="s">
        <v>12</v>
      </c>
    </row>
    <row r="16" spans="1:4" ht="15.75" customHeight="1" x14ac:dyDescent="0.15">
      <c r="A16" s="1" t="s">
        <v>21</v>
      </c>
      <c r="B16" s="1" t="s">
        <v>321</v>
      </c>
      <c r="C16" s="1" t="s">
        <v>23</v>
      </c>
      <c r="D16" s="1" t="s">
        <v>12</v>
      </c>
    </row>
    <row r="17" spans="1:4" ht="15.75" customHeight="1" x14ac:dyDescent="0.15">
      <c r="A17" s="1" t="s">
        <v>21</v>
      </c>
      <c r="B17" s="1" t="s">
        <v>47</v>
      </c>
      <c r="C17" s="1" t="s">
        <v>23</v>
      </c>
      <c r="D17" s="1" t="s">
        <v>12</v>
      </c>
    </row>
    <row r="18" spans="1:4" ht="15.75" customHeight="1" x14ac:dyDescent="0.15">
      <c r="D18" s="2">
        <f>COUNTIF(D2:D17,"Yes")/COUNTA(D2:D17)</f>
        <v>0.625</v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outlinePr summaryBelow="0" summaryRight="0"/>
  </sheetPr>
  <dimension ref="A1:E18"/>
  <sheetViews>
    <sheetView workbookViewId="0"/>
  </sheetViews>
  <sheetFormatPr baseColWidth="10" defaultColWidth="12.6640625" defaultRowHeight="15.75" customHeight="1" x14ac:dyDescent="0.15"/>
  <sheetData>
    <row r="1" spans="1:5" ht="15.75" customHeight="1" x14ac:dyDescent="0.15">
      <c r="A1" s="1" t="s">
        <v>0</v>
      </c>
      <c r="B1" s="1" t="s">
        <v>322</v>
      </c>
      <c r="C1" s="1" t="s">
        <v>323</v>
      </c>
      <c r="D1" s="1" t="s">
        <v>6</v>
      </c>
      <c r="E1" s="1" t="s">
        <v>262</v>
      </c>
    </row>
    <row r="2" spans="1:5" ht="15.75" customHeight="1" x14ac:dyDescent="0.15">
      <c r="A2" s="1" t="s">
        <v>8</v>
      </c>
      <c r="B2" s="1" t="s">
        <v>324</v>
      </c>
      <c r="C2" s="1" t="s">
        <v>154</v>
      </c>
      <c r="D2" s="1" t="s">
        <v>325</v>
      </c>
      <c r="E2" s="1" t="s">
        <v>12</v>
      </c>
    </row>
    <row r="3" spans="1:5" ht="15.75" customHeight="1" x14ac:dyDescent="0.15">
      <c r="A3" s="1" t="s">
        <v>8</v>
      </c>
      <c r="B3" s="1" t="s">
        <v>326</v>
      </c>
      <c r="C3" s="1" t="s">
        <v>154</v>
      </c>
      <c r="D3" s="1" t="s">
        <v>327</v>
      </c>
      <c r="E3" s="1" t="s">
        <v>12</v>
      </c>
    </row>
    <row r="4" spans="1:5" ht="15.75" customHeight="1" x14ac:dyDescent="0.15">
      <c r="A4" s="1" t="s">
        <v>8</v>
      </c>
      <c r="B4" s="1" t="s">
        <v>328</v>
      </c>
      <c r="C4" s="1" t="s">
        <v>154</v>
      </c>
      <c r="D4" s="1" t="s">
        <v>329</v>
      </c>
      <c r="E4" s="1" t="s">
        <v>12</v>
      </c>
    </row>
    <row r="5" spans="1:5" ht="15.75" customHeight="1" x14ac:dyDescent="0.15">
      <c r="A5" s="1" t="s">
        <v>8</v>
      </c>
      <c r="B5" s="1" t="s">
        <v>330</v>
      </c>
      <c r="C5" s="1" t="s">
        <v>154</v>
      </c>
      <c r="D5" s="1" t="s">
        <v>331</v>
      </c>
      <c r="E5" s="1" t="s">
        <v>12</v>
      </c>
    </row>
    <row r="6" spans="1:5" ht="15.75" customHeight="1" x14ac:dyDescent="0.15">
      <c r="A6" s="1" t="s">
        <v>8</v>
      </c>
      <c r="B6" s="1" t="s">
        <v>332</v>
      </c>
      <c r="C6" s="1" t="s">
        <v>154</v>
      </c>
      <c r="D6" s="1" t="s">
        <v>333</v>
      </c>
      <c r="E6" s="1" t="s">
        <v>12</v>
      </c>
    </row>
    <row r="7" spans="1:5" ht="15.75" customHeight="1" x14ac:dyDescent="0.15">
      <c r="A7" s="1" t="s">
        <v>8</v>
      </c>
      <c r="B7" s="4" t="s">
        <v>334</v>
      </c>
      <c r="C7" s="1" t="s">
        <v>154</v>
      </c>
      <c r="D7" s="1" t="s">
        <v>335</v>
      </c>
      <c r="E7" s="1" t="s">
        <v>12</v>
      </c>
    </row>
    <row r="8" spans="1:5" ht="15.75" customHeight="1" x14ac:dyDescent="0.15">
      <c r="A8" s="1" t="s">
        <v>8</v>
      </c>
      <c r="B8" s="1" t="s">
        <v>336</v>
      </c>
      <c r="C8" s="1" t="s">
        <v>154</v>
      </c>
      <c r="D8" s="1" t="s">
        <v>337</v>
      </c>
      <c r="E8" s="1" t="s">
        <v>18</v>
      </c>
    </row>
    <row r="9" spans="1:5" ht="15.75" customHeight="1" x14ac:dyDescent="0.15">
      <c r="A9" s="1" t="s">
        <v>8</v>
      </c>
      <c r="B9" s="1" t="s">
        <v>338</v>
      </c>
      <c r="C9" s="1" t="s">
        <v>154</v>
      </c>
      <c r="D9" s="1" t="s">
        <v>339</v>
      </c>
      <c r="E9" s="1" t="s">
        <v>12</v>
      </c>
    </row>
    <row r="10" spans="1:5" ht="15.75" customHeight="1" x14ac:dyDescent="0.15">
      <c r="A10" s="1" t="s">
        <v>8</v>
      </c>
      <c r="B10" s="1" t="s">
        <v>340</v>
      </c>
      <c r="C10" s="1" t="s">
        <v>154</v>
      </c>
      <c r="D10" s="1" t="s">
        <v>341</v>
      </c>
      <c r="E10" s="1" t="s">
        <v>18</v>
      </c>
    </row>
    <row r="11" spans="1:5" ht="15.75" customHeight="1" x14ac:dyDescent="0.15">
      <c r="A11" s="1" t="s">
        <v>8</v>
      </c>
      <c r="B11" s="1" t="s">
        <v>342</v>
      </c>
      <c r="C11" s="1" t="s">
        <v>154</v>
      </c>
      <c r="D11" s="1" t="s">
        <v>343</v>
      </c>
      <c r="E11" s="1" t="s">
        <v>12</v>
      </c>
    </row>
    <row r="12" spans="1:5" ht="15.75" customHeight="1" x14ac:dyDescent="0.15">
      <c r="A12" s="1" t="s">
        <v>8</v>
      </c>
      <c r="B12" s="1" t="s">
        <v>344</v>
      </c>
      <c r="C12" s="1" t="s">
        <v>154</v>
      </c>
      <c r="D12" s="1" t="s">
        <v>345</v>
      </c>
      <c r="E12" s="1" t="s">
        <v>12</v>
      </c>
    </row>
    <row r="13" spans="1:5" ht="15.75" customHeight="1" x14ac:dyDescent="0.15">
      <c r="A13" s="1" t="s">
        <v>26</v>
      </c>
      <c r="B13" s="1" t="s">
        <v>263</v>
      </c>
      <c r="C13" s="1">
        <v>2</v>
      </c>
      <c r="D13" s="1" t="s">
        <v>345</v>
      </c>
      <c r="E13" s="1" t="s">
        <v>12</v>
      </c>
    </row>
    <row r="14" spans="1:5" ht="15.75" customHeight="1" x14ac:dyDescent="0.15">
      <c r="A14" s="1" t="s">
        <v>21</v>
      </c>
      <c r="B14" s="1" t="s">
        <v>9</v>
      </c>
      <c r="C14" s="1">
        <v>1</v>
      </c>
      <c r="D14" s="1" t="s">
        <v>23</v>
      </c>
      <c r="E14" s="1" t="s">
        <v>12</v>
      </c>
    </row>
    <row r="15" spans="1:5" ht="15.75" customHeight="1" x14ac:dyDescent="0.15">
      <c r="A15" s="1" t="s">
        <v>21</v>
      </c>
      <c r="B15" s="1" t="s">
        <v>263</v>
      </c>
      <c r="C15" s="1">
        <v>0</v>
      </c>
      <c r="D15" s="1" t="s">
        <v>23</v>
      </c>
      <c r="E15" s="1" t="s">
        <v>12</v>
      </c>
    </row>
    <row r="16" spans="1:5" ht="15.75" customHeight="1" x14ac:dyDescent="0.15">
      <c r="A16" s="1" t="s">
        <v>21</v>
      </c>
      <c r="B16" s="1" t="s">
        <v>263</v>
      </c>
      <c r="C16" s="1" t="s">
        <v>346</v>
      </c>
      <c r="D16" s="1" t="s">
        <v>23</v>
      </c>
      <c r="E16" s="1" t="s">
        <v>12</v>
      </c>
    </row>
    <row r="17" spans="1:5" ht="15.75" customHeight="1" x14ac:dyDescent="0.15">
      <c r="A17" s="1" t="s">
        <v>21</v>
      </c>
      <c r="B17" s="1" t="s">
        <v>263</v>
      </c>
      <c r="C17" s="1" t="s">
        <v>24</v>
      </c>
      <c r="D17" s="1" t="s">
        <v>23</v>
      </c>
      <c r="E17" s="1" t="s">
        <v>12</v>
      </c>
    </row>
    <row r="18" spans="1:5" ht="15.75" customHeight="1" x14ac:dyDescent="0.15">
      <c r="E18" s="2">
        <f>COUNTIF(E2:E17,"Yes")/COUNTA(E2:E17)</f>
        <v>0.125</v>
      </c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outlinePr summaryBelow="0" summaryRight="0"/>
  </sheetPr>
  <dimension ref="A1:E10"/>
  <sheetViews>
    <sheetView workbookViewId="0"/>
  </sheetViews>
  <sheetFormatPr baseColWidth="10" defaultColWidth="12.6640625" defaultRowHeight="15.75" customHeight="1" x14ac:dyDescent="0.15"/>
  <sheetData>
    <row r="1" spans="1:5" ht="15.75" customHeight="1" x14ac:dyDescent="0.15">
      <c r="A1" s="1" t="s">
        <v>0</v>
      </c>
      <c r="B1" s="1" t="s">
        <v>112</v>
      </c>
      <c r="C1" s="1" t="s">
        <v>347</v>
      </c>
      <c r="D1" s="1" t="s">
        <v>6</v>
      </c>
      <c r="E1" s="1" t="s">
        <v>262</v>
      </c>
    </row>
    <row r="2" spans="1:5" ht="15.75" customHeight="1" x14ac:dyDescent="0.15">
      <c r="A2" s="1" t="s">
        <v>26</v>
      </c>
      <c r="B2" s="1" t="s">
        <v>121</v>
      </c>
      <c r="C2" s="1" t="s">
        <v>9</v>
      </c>
      <c r="D2" s="1" t="s">
        <v>348</v>
      </c>
      <c r="E2" s="1" t="s">
        <v>18</v>
      </c>
    </row>
    <row r="3" spans="1:5" ht="15.75" customHeight="1" x14ac:dyDescent="0.15">
      <c r="A3" s="1" t="s">
        <v>8</v>
      </c>
      <c r="B3" s="1" t="s">
        <v>43</v>
      </c>
      <c r="C3" s="1" t="s">
        <v>349</v>
      </c>
      <c r="D3" s="1" t="s">
        <v>350</v>
      </c>
      <c r="E3" s="1" t="s">
        <v>18</v>
      </c>
    </row>
    <row r="4" spans="1:5" ht="15.75" customHeight="1" x14ac:dyDescent="0.15">
      <c r="A4" s="1" t="s">
        <v>8</v>
      </c>
      <c r="B4" s="1" t="s">
        <v>43</v>
      </c>
      <c r="C4" s="1" t="s">
        <v>351</v>
      </c>
      <c r="D4" s="1" t="s">
        <v>350</v>
      </c>
      <c r="E4" s="1" t="s">
        <v>18</v>
      </c>
    </row>
    <row r="5" spans="1:5" ht="15.75" customHeight="1" x14ac:dyDescent="0.15">
      <c r="A5" s="1" t="s">
        <v>8</v>
      </c>
      <c r="B5" s="1" t="s">
        <v>43</v>
      </c>
      <c r="C5" s="1" t="s">
        <v>352</v>
      </c>
      <c r="D5" s="1" t="s">
        <v>350</v>
      </c>
      <c r="E5" s="1" t="s">
        <v>12</v>
      </c>
    </row>
    <row r="6" spans="1:5" ht="15.75" customHeight="1" x14ac:dyDescent="0.15">
      <c r="A6" s="1" t="s">
        <v>8</v>
      </c>
      <c r="B6" s="1" t="s">
        <v>43</v>
      </c>
      <c r="C6" s="1" t="s">
        <v>353</v>
      </c>
      <c r="D6" s="1" t="s">
        <v>350</v>
      </c>
      <c r="E6" s="1" t="s">
        <v>12</v>
      </c>
    </row>
    <row r="7" spans="1:5" ht="15.75" customHeight="1" x14ac:dyDescent="0.15">
      <c r="A7" s="1" t="s">
        <v>8</v>
      </c>
      <c r="B7" s="1" t="s">
        <v>354</v>
      </c>
      <c r="C7" s="1" t="s">
        <v>355</v>
      </c>
      <c r="D7" s="1" t="s">
        <v>350</v>
      </c>
      <c r="E7" s="1" t="s">
        <v>12</v>
      </c>
    </row>
    <row r="8" spans="1:5" ht="15.75" customHeight="1" x14ac:dyDescent="0.15">
      <c r="A8" s="1" t="s">
        <v>8</v>
      </c>
      <c r="B8" s="1" t="s">
        <v>43</v>
      </c>
      <c r="C8" s="1" t="s">
        <v>356</v>
      </c>
      <c r="D8" s="1" t="s">
        <v>357</v>
      </c>
      <c r="E8" s="1" t="s">
        <v>12</v>
      </c>
    </row>
    <row r="9" spans="1:5" ht="15.75" customHeight="1" x14ac:dyDescent="0.15">
      <c r="A9" s="1" t="s">
        <v>21</v>
      </c>
      <c r="B9" s="1" t="s">
        <v>38</v>
      </c>
      <c r="C9" s="1" t="s">
        <v>9</v>
      </c>
      <c r="D9" s="1" t="s">
        <v>23</v>
      </c>
      <c r="E9" s="1" t="s">
        <v>12</v>
      </c>
    </row>
    <row r="10" spans="1:5" ht="15.75" customHeight="1" x14ac:dyDescent="0.15">
      <c r="E10" s="2">
        <f>COUNTIF(E2:E9, "Yes")/COUNTA(E2:E9)</f>
        <v>0.375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31</vt:i4>
      </vt:variant>
    </vt:vector>
  </HeadingPairs>
  <TitlesOfParts>
    <vt:vector size="31" baseType="lpstr">
      <vt:lpstr>Java0</vt:lpstr>
      <vt:lpstr>Java1</vt:lpstr>
      <vt:lpstr>Java5</vt:lpstr>
      <vt:lpstr>Java8</vt:lpstr>
      <vt:lpstr>Java13</vt:lpstr>
      <vt:lpstr>Java16</vt:lpstr>
      <vt:lpstr>Java18</vt:lpstr>
      <vt:lpstr>Java20</vt:lpstr>
      <vt:lpstr>Java25</vt:lpstr>
      <vt:lpstr>Java29</vt:lpstr>
      <vt:lpstr>Java32</vt:lpstr>
      <vt:lpstr>Java40</vt:lpstr>
      <vt:lpstr>Sheet1</vt:lpstr>
      <vt:lpstr>Java44</vt:lpstr>
      <vt:lpstr>Java46</vt:lpstr>
      <vt:lpstr>Java48</vt:lpstr>
      <vt:lpstr>Java55</vt:lpstr>
      <vt:lpstr>Java57</vt:lpstr>
      <vt:lpstr>Java58</vt:lpstr>
      <vt:lpstr>Java65</vt:lpstr>
      <vt:lpstr>Java69</vt:lpstr>
      <vt:lpstr>Java76</vt:lpstr>
      <vt:lpstr>Java109</vt:lpstr>
      <vt:lpstr>Java110</vt:lpstr>
      <vt:lpstr>Java124</vt:lpstr>
      <vt:lpstr>Java129</vt:lpstr>
      <vt:lpstr>Java140</vt:lpstr>
      <vt:lpstr>Java141</vt:lpstr>
      <vt:lpstr>Java156</vt:lpstr>
      <vt:lpstr>Java160</vt:lpstr>
      <vt:lpstr>Java162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İhsan Gök</cp:lastModifiedBy>
  <dcterms:modified xsi:type="dcterms:W3CDTF">2026-04-26T10:48:52Z</dcterms:modified>
</cp:coreProperties>
</file>