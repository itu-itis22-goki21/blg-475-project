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ti\Desktop\blg-475-project\data\"/>
    </mc:Choice>
  </mc:AlternateContent>
  <xr:revisionPtr revIDLastSave="0" documentId="13_ncr:1_{99C9D9CA-E38D-4C0D-B84B-3ABC04F752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31" r:id="rId1"/>
    <sheet name="Java0" sheetId="1" r:id="rId2"/>
    <sheet name="Java1" sheetId="2" r:id="rId3"/>
    <sheet name="Java5" sheetId="3" r:id="rId4"/>
    <sheet name="Java8" sheetId="4" r:id="rId5"/>
    <sheet name="Java13" sheetId="5" r:id="rId6"/>
    <sheet name="Java16" sheetId="6" r:id="rId7"/>
    <sheet name="Java18" sheetId="7" r:id="rId8"/>
    <sheet name="Java20" sheetId="8" r:id="rId9"/>
    <sheet name="Java25" sheetId="9" r:id="rId10"/>
    <sheet name="Java29" sheetId="10" r:id="rId11"/>
    <sheet name="Java32" sheetId="11" r:id="rId12"/>
    <sheet name="Java40" sheetId="12" r:id="rId13"/>
    <sheet name="Java44" sheetId="13" r:id="rId14"/>
    <sheet name="Java46" sheetId="14" r:id="rId15"/>
    <sheet name="Java48" sheetId="15" r:id="rId16"/>
    <sheet name="Java55" sheetId="16" r:id="rId17"/>
    <sheet name="Java57" sheetId="17" r:id="rId18"/>
    <sheet name="Java58" sheetId="18" r:id="rId19"/>
    <sheet name="Java65" sheetId="19" r:id="rId20"/>
    <sheet name="Java69" sheetId="20" r:id="rId21"/>
    <sheet name="Java76" sheetId="21" r:id="rId22"/>
    <sheet name="Java109" sheetId="22" r:id="rId23"/>
    <sheet name="Java110" sheetId="23" r:id="rId24"/>
    <sheet name="Java124" sheetId="24" r:id="rId25"/>
    <sheet name="Java129" sheetId="25" r:id="rId26"/>
    <sheet name="Java140" sheetId="26" r:id="rId27"/>
    <sheet name="Java141" sheetId="27" r:id="rId28"/>
    <sheet name="Java156" sheetId="28" r:id="rId29"/>
    <sheet name="Java160" sheetId="29" r:id="rId30"/>
    <sheet name="Java162" sheetId="30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4" l="1"/>
  <c r="E10" i="30"/>
  <c r="E18" i="29"/>
  <c r="D18" i="28"/>
  <c r="G13" i="27"/>
  <c r="E9" i="26"/>
  <c r="G12" i="25"/>
  <c r="F21" i="24"/>
  <c r="E10" i="23"/>
  <c r="F9" i="22"/>
  <c r="F11" i="21"/>
  <c r="F12" i="20"/>
  <c r="G8" i="19"/>
  <c r="G11" i="18"/>
  <c r="F15" i="17"/>
  <c r="D11" i="16"/>
  <c r="F21" i="15"/>
  <c r="D11" i="14"/>
  <c r="E9" i="13"/>
  <c r="G10" i="12"/>
  <c r="H12" i="11"/>
  <c r="G11" i="10"/>
  <c r="E8" i="9"/>
  <c r="F7" i="8"/>
  <c r="G14" i="7"/>
  <c r="E7" i="6"/>
  <c r="F17" i="5"/>
  <c r="G9" i="4"/>
  <c r="F8" i="3"/>
  <c r="F13" i="2"/>
  <c r="H11" i="1"/>
</calcChain>
</file>

<file path=xl/sharedStrings.xml><?xml version="1.0" encoding="utf-8"?>
<sst xmlns="http://schemas.openxmlformats.org/spreadsheetml/2006/main" count="2000" uniqueCount="537">
  <si>
    <t>Type</t>
  </si>
  <si>
    <t>List size</t>
  </si>
  <si>
    <t>List elements</t>
  </si>
  <si>
    <t>Close pairs</t>
  </si>
  <si>
    <t>Duplicates</t>
  </si>
  <si>
    <t>Threshold</t>
  </si>
  <si>
    <t>Expected output</t>
  </si>
  <si>
    <t>Covered by base tests?</t>
  </si>
  <si>
    <t>Valid</t>
  </si>
  <si>
    <t>N/A</t>
  </si>
  <si>
    <t>0 by definition</t>
  </si>
  <si>
    <t>*</t>
  </si>
  <si>
    <t>No</t>
  </si>
  <si>
    <t>Double</t>
  </si>
  <si>
    <t>&gt;1</t>
  </si>
  <si>
    <t>All double</t>
  </si>
  <si>
    <t>Least dist &gt; th.</t>
  </si>
  <si>
    <t>Non-zero</t>
  </si>
  <si>
    <t>Yes</t>
  </si>
  <si>
    <t>&gt;0</t>
  </si>
  <si>
    <t>No of close pairs</t>
  </si>
  <si>
    <t>Invalid</t>
  </si>
  <si>
    <t>Non-double</t>
  </si>
  <si>
    <t>Error</t>
  </si>
  <si>
    <t>Negative</t>
  </si>
  <si>
    <t>Err./#pairs (all pairs close)</t>
  </si>
  <si>
    <t>Boundary</t>
  </si>
  <si>
    <t>Least dist = th.</t>
  </si>
  <si>
    <t>String</t>
  </si>
  <si>
    <t>No of groups</t>
  </si>
  <si>
    <t>Group type</t>
  </si>
  <si>
    <t>Empty</t>
  </si>
  <si>
    <t>Non-empty</t>
  </si>
  <si>
    <t>Not nested</t>
  </si>
  <si>
    <t>Nested</t>
  </si>
  <si>
    <t>Complex nested</t>
  </si>
  <si>
    <t>&gt;1, separated</t>
  </si>
  <si>
    <t>&gt;1, adjacent</t>
  </si>
  <si>
    <t>Non-string</t>
  </si>
  <si>
    <t>Ill-formed string</t>
  </si>
  <si>
    <t>2, separated</t>
  </si>
  <si>
    <t>2, adjacent</t>
  </si>
  <si>
    <t>Delimiter</t>
  </si>
  <si>
    <t>Typical</t>
  </si>
  <si>
    <t>All int</t>
  </si>
  <si>
    <t>int</t>
  </si>
  <si>
    <t>No error</t>
  </si>
  <si>
    <t>Non-int</t>
  </si>
  <si>
    <t>Empty list</t>
  </si>
  <si>
    <t>Same as input</t>
  </si>
  <si>
    <t>Types</t>
  </si>
  <si>
    <t>Signs</t>
  </si>
  <si>
    <t>Magnitudes</t>
  </si>
  <si>
    <t>All positive</t>
  </si>
  <si>
    <t>All typical</t>
  </si>
  <si>
    <t>Some very small</t>
  </si>
  <si>
    <t>Some very large</t>
  </si>
  <si>
    <t>Some negative</t>
  </si>
  <si>
    <t>Some non-int</t>
  </si>
  <si>
    <t>(0, 1)</t>
  </si>
  <si>
    <t>Positive</t>
  </si>
  <si>
    <t>(a, a) where a is the list element</t>
  </si>
  <si>
    <t>a</t>
  </si>
  <si>
    <t>b</t>
  </si>
  <si>
    <t>a-b relationship</t>
  </si>
  <si>
    <t>Positive int</t>
  </si>
  <si>
    <t>Coprime</t>
  </si>
  <si>
    <t>a divides b</t>
  </si>
  <si>
    <t>b divides a</t>
  </si>
  <si>
    <t>gcd&gt;1, unequal</t>
  </si>
  <si>
    <t>gcd(a, b)</t>
  </si>
  <si>
    <t>Negative int</t>
  </si>
  <si>
    <t>gcd(a, abs(b))</t>
  </si>
  <si>
    <t>gcd(abs(a), b)</t>
  </si>
  <si>
    <t>gcd(abs(a), abs(b))</t>
  </si>
  <si>
    <t>Equal</t>
  </si>
  <si>
    <t>a (or b)</t>
  </si>
  <si>
    <t>abs(b)</t>
  </si>
  <si>
    <t>abs(a)</t>
  </si>
  <si>
    <t>Small pos. int</t>
  </si>
  <si>
    <t>Large pos. int</t>
  </si>
  <si>
    <t>Characters</t>
  </si>
  <si>
    <t>Covered by base cases?</t>
  </si>
  <si>
    <t>Empty (0-length)</t>
  </si>
  <si>
    <t>Typical length</t>
  </si>
  <si>
    <t>Uniform case</t>
  </si>
  <si>
    <t>Mixed case</t>
  </si>
  <si>
    <t>Invalid encoding</t>
  </si>
  <si>
    <t xml:space="preserve">None </t>
  </si>
  <si>
    <t>Substring</t>
  </si>
  <si>
    <t>Substring length</t>
  </si>
  <si>
    <t>Occurrences</t>
  </si>
  <si>
    <t>Unclear</t>
  </si>
  <si>
    <t>Could be 0</t>
  </si>
  <si>
    <t>&gt; string length</t>
  </si>
  <si>
    <t>&lt;= string length</t>
  </si>
  <si>
    <t>&gt;1, no overlap</t>
  </si>
  <si>
    <t>No of occurrences</t>
  </si>
  <si>
    <t>&gt;1, overlapping</t>
  </si>
  <si>
    <t>string length</t>
  </si>
  <si>
    <t>1 (exact match)</t>
  </si>
  <si>
    <t>Closest pairs</t>
  </si>
  <si>
    <t>Only one</t>
  </si>
  <si>
    <t>Closest pair</t>
  </si>
  <si>
    <t>One by defn</t>
  </si>
  <si>
    <t>The duplicates</t>
  </si>
  <si>
    <t>Multiple (tied)</t>
  </si>
  <si>
    <t>First closest pair</t>
  </si>
  <si>
    <t>&lt;2</t>
  </si>
  <si>
    <t>None by defn</t>
  </si>
  <si>
    <t>The two elements</t>
  </si>
  <si>
    <t>Input type</t>
  </si>
  <si>
    <t>Input</t>
  </si>
  <si>
    <t>Small non-prime</t>
  </si>
  <si>
    <t>Large non-prime</t>
  </si>
  <si>
    <t>Prime (not 2)</t>
  </si>
  <si>
    <t>[the prime itself]</t>
  </si>
  <si>
    <t>[2]</t>
  </si>
  <si>
    <t>Prefix</t>
  </si>
  <si>
    <t>Matches</t>
  </si>
  <si>
    <t>Cases</t>
  </si>
  <si>
    <t>Empty string</t>
  </si>
  <si>
    <t>All by defn</t>
  </si>
  <si>
    <t>The entire list</t>
  </si>
  <si>
    <t>None</t>
  </si>
  <si>
    <t>Uniform</t>
  </si>
  <si>
    <t>At least one</t>
  </si>
  <si>
    <t>The matches</t>
  </si>
  <si>
    <t>Longer than all strings</t>
  </si>
  <si>
    <t>Mixed</t>
  </si>
  <si>
    <t>Only case-sensitive matches</t>
  </si>
  <si>
    <t>Non-string elements</t>
  </si>
  <si>
    <t>Strings</t>
  </si>
  <si>
    <t>Some string in list</t>
  </si>
  <si>
    <t>At least one by defn</t>
  </si>
  <si>
    <t>The string included</t>
  </si>
  <si>
    <t>Degree</t>
  </si>
  <si>
    <t>No of real roots</t>
  </si>
  <si>
    <t>Repeated roots?</t>
  </si>
  <si>
    <t>Coefficients</t>
  </si>
  <si>
    <t>Flat region?</t>
  </si>
  <si>
    <t>1 by defn</t>
  </si>
  <si>
    <t>No by defn</t>
  </si>
  <si>
    <t>The root</t>
  </si>
  <si>
    <t>&gt;1, odd</t>
  </si>
  <si>
    <t>One of the roots</t>
  </si>
  <si>
    <t>Small</t>
  </si>
  <si>
    <t>Large</t>
  </si>
  <si>
    <t>&gt;1, even</t>
  </si>
  <si>
    <t>Infinite by defn</t>
  </si>
  <si>
    <t>All 0</t>
  </si>
  <si>
    <t>&gt;1, all far from 0</t>
  </si>
  <si>
    <t>0-sum triples</t>
  </si>
  <si>
    <t>Elements</t>
  </si>
  <si>
    <t>At least 3</t>
  </si>
  <si>
    <t>All negative</t>
  </si>
  <si>
    <t>&lt;3</t>
  </si>
  <si>
    <t>Yes by defn</t>
  </si>
  <si>
    <t>x</t>
  </si>
  <si>
    <t>Base</t>
  </si>
  <si>
    <t>x in new base</t>
  </si>
  <si>
    <t>x in base 2</t>
  </si>
  <si>
    <t>x itself</t>
  </si>
  <si>
    <t>Valid?</t>
  </si>
  <si>
    <t>&lt;0</t>
  </si>
  <si>
    <t>&lt;=1</t>
  </si>
  <si>
    <t>&gt;10</t>
  </si>
  <si>
    <t>n</t>
  </si>
  <si>
    <t>fib4(n)</t>
  </si>
  <si>
    <t>Negative n</t>
  </si>
  <si>
    <t>Non-int n</t>
  </si>
  <si>
    <t>Palindrome?</t>
  </si>
  <si>
    <t>Empty (0 length)</t>
  </si>
  <si>
    <t>By definition</t>
  </si>
  <si>
    <t>Same case, no whitespace</t>
  </si>
  <si>
    <t>Whitespaces</t>
  </si>
  <si>
    <t>Empty (null)</t>
  </si>
  <si>
    <t>Length 1</t>
  </si>
  <si>
    <t>Valid encoding</t>
  </si>
  <si>
    <t>Length 2</t>
  </si>
  <si>
    <t>Typical (small)</t>
  </si>
  <si>
    <t>nth Fibonacci number</t>
  </si>
  <si>
    <t>Large (&gt;50)</t>
  </si>
  <si>
    <t>Negative integer</t>
  </si>
  <si>
    <t>Non-integer type</t>
  </si>
  <si>
    <t>Monotonicity</t>
  </si>
  <si>
    <t>Constant segment?</t>
  </si>
  <si>
    <t>Both by defn</t>
  </si>
  <si>
    <t>Increasing</t>
  </si>
  <si>
    <t>Decreasing</t>
  </si>
  <si>
    <t>Neither</t>
  </si>
  <si>
    <t>Typical with non-numeric elements</t>
  </si>
  <si>
    <t>All constant</t>
  </si>
  <si>
    <t>List 1</t>
  </si>
  <si>
    <t>List 2</t>
  </si>
  <si>
    <t>Commons</t>
  </si>
  <si>
    <t>Sorted</t>
  </si>
  <si>
    <t>Commons as is</t>
  </si>
  <si>
    <t>Unsorted</t>
  </si>
  <si>
    <t>Commons sorted</t>
  </si>
  <si>
    <t>Non-integers</t>
  </si>
  <si>
    <t>The common</t>
  </si>
  <si>
    <t>x type</t>
  </si>
  <si>
    <t>shift type</t>
  </si>
  <si>
    <t>x no of digits</t>
  </si>
  <si>
    <t>shift</t>
  </si>
  <si>
    <t>&lt;x no of digits</t>
  </si>
  <si>
    <t>&gt;x no of digits</t>
  </si>
  <si>
    <t>x itself (no err.)</t>
  </si>
  <si>
    <t>non-int</t>
  </si>
  <si>
    <t xml:space="preserve">int </t>
  </si>
  <si>
    <t>Integers</t>
  </si>
  <si>
    <t>Condition true?</t>
  </si>
  <si>
    <t>The integer</t>
  </si>
  <si>
    <t>All nonpositive</t>
  </si>
  <si>
    <t>Some positive</t>
  </si>
  <si>
    <t>Only for one</t>
  </si>
  <si>
    <t>The one</t>
  </si>
  <si>
    <t>For mutliple</t>
  </si>
  <si>
    <t>The largest one</t>
  </si>
  <si>
    <t>1, rest *</t>
  </si>
  <si>
    <t>Equal to its freq</t>
  </si>
  <si>
    <t>x simple power?</t>
  </si>
  <si>
    <t>Any int</t>
  </si>
  <si>
    <t>Not 1, positive</t>
  </si>
  <si>
    <t>Not 1, negative</t>
  </si>
  <si>
    <t>Sorted?</t>
  </si>
  <si>
    <t>Sortable by shift?</t>
  </si>
  <si>
    <t>By 0 shifts</t>
  </si>
  <si>
    <t>Already</t>
  </si>
  <si>
    <t>By 1 shift</t>
  </si>
  <si>
    <t>By &gt;1 shift</t>
  </si>
  <si>
    <t>No (two decreases)</t>
  </si>
  <si>
    <t>&gt;0, non-ints</t>
  </si>
  <si>
    <t>All even already</t>
  </si>
  <si>
    <t>x odds</t>
  </si>
  <si>
    <t>&lt;x elements</t>
  </si>
  <si>
    <t>All odds</t>
  </si>
  <si>
    <t>&lt;x evens</t>
  </si>
  <si>
    <t>x evens</t>
  </si>
  <si>
    <t>&gt;x evens</t>
  </si>
  <si>
    <t>Non-ints</t>
  </si>
  <si>
    <t>Month</t>
  </si>
  <si>
    <t>Day</t>
  </si>
  <si>
    <t>Not in XX-XX-XXXX format</t>
  </si>
  <si>
    <t>31-day</t>
  </si>
  <si>
    <t>01-31</t>
  </si>
  <si>
    <t>32-99</t>
  </si>
  <si>
    <t>30-day</t>
  </si>
  <si>
    <t>01-30</t>
  </si>
  <si>
    <t>30-99</t>
  </si>
  <si>
    <t>February</t>
  </si>
  <si>
    <t>01-29</t>
  </si>
  <si>
    <t>00</t>
  </si>
  <si>
    <t>13-99</t>
  </si>
  <si>
    <t>01</t>
  </si>
  <si>
    <t>04</t>
  </si>
  <si>
    <t>02</t>
  </si>
  <si>
    <t>Grid</t>
  </si>
  <si>
    <t>k</t>
  </si>
  <si>
    <t>Pos of min value</t>
  </si>
  <si>
    <t>Condition</t>
  </si>
  <si>
    <t>Covered?</t>
  </si>
  <si>
    <t>Any</t>
  </si>
  <si>
    <t>No movement</t>
  </si>
  <si>
    <t>Min value</t>
  </si>
  <si>
    <t>Only one move</t>
  </si>
  <si>
    <t>Min value, min neighbor</t>
  </si>
  <si>
    <t>Corner</t>
  </si>
  <si>
    <t>Can revisit</t>
  </si>
  <si>
    <t>Bounce in corner</t>
  </si>
  <si>
    <t>Cycle</t>
  </si>
  <si>
    <t>More than N^2</t>
  </si>
  <si>
    <t>Revisit needed</t>
  </si>
  <si>
    <t>Not N by N</t>
  </si>
  <si>
    <t>N less than 2</t>
  </si>
  <si>
    <t>Nonpositive</t>
  </si>
  <si>
    <t>Repeated ints</t>
  </si>
  <si>
    <t>Non-int grid entries</t>
  </si>
  <si>
    <t>Spaces</t>
  </si>
  <si>
    <t>Position</t>
  </si>
  <si>
    <t>No change</t>
  </si>
  <si>
    <t>Replace w _</t>
  </si>
  <si>
    <t>All 1 or 2 runs</t>
  </si>
  <si>
    <t>All 3+ runs</t>
  </si>
  <si>
    <t>Replace w -</t>
  </si>
  <si>
    <t>Mixed runs</t>
  </si>
  <si>
    <t>Replace correctly</t>
  </si>
  <si>
    <t>Non-string input</t>
  </si>
  <si>
    <t>Digits</t>
  </si>
  <si>
    <t>Dots</t>
  </si>
  <si>
    <t>Extension</t>
  </si>
  <si>
    <t>At most 3</t>
  </si>
  <si>
    <t>More than 3</t>
  </si>
  <si>
    <t>More than 1</t>
  </si>
  <si>
    <t>Non-letter start</t>
  </si>
  <si>
    <t>Case sens. inv.</t>
  </si>
  <si>
    <t>One letter</t>
  </si>
  <si>
    <t>number</t>
  </si>
  <si>
    <t>i-iii</t>
  </si>
  <si>
    <t>iv</t>
  </si>
  <si>
    <t>v-viii</t>
  </si>
  <si>
    <t>ix</t>
  </si>
  <si>
    <t>10-39</t>
  </si>
  <si>
    <t>x-xxxix</t>
  </si>
  <si>
    <t>40-49</t>
  </si>
  <si>
    <t>xl-xlix</t>
  </si>
  <si>
    <t>50-89</t>
  </si>
  <si>
    <t>l-lxxxix</t>
  </si>
  <si>
    <t>90-99</t>
  </si>
  <si>
    <t>xc-xcix</t>
  </si>
  <si>
    <t>100-399</t>
  </si>
  <si>
    <t>c-cccxcix</t>
  </si>
  <si>
    <t>400-499</t>
  </si>
  <si>
    <t>cd-cdxcix</t>
  </si>
  <si>
    <t>500-899</t>
  </si>
  <si>
    <t>d-dcccxcix</t>
  </si>
  <si>
    <t>900-999</t>
  </si>
  <si>
    <t>cm-cmxcix</t>
  </si>
  <si>
    <t>m</t>
  </si>
  <si>
    <t>&gt;1000</t>
  </si>
  <si>
    <t>&lt;1</t>
  </si>
  <si>
    <t>Operators</t>
  </si>
  <si>
    <t>No of operands</t>
  </si>
  <si>
    <t>Only +</t>
  </si>
  <si>
    <t>Left to right add</t>
  </si>
  <si>
    <t>Only -</t>
  </si>
  <si>
    <t>Left to right sub</t>
  </si>
  <si>
    <t>Only *</t>
  </si>
  <si>
    <t>Left to right prod</t>
  </si>
  <si>
    <t>Only /</t>
  </si>
  <si>
    <t>Left to right div</t>
  </si>
  <si>
    <t>Only **</t>
  </si>
  <si>
    <t>Left to right exp</t>
  </si>
  <si>
    <t>Plus and minus</t>
  </si>
  <si>
    <t xml:space="preserve">Plus, min same </t>
  </si>
  <si>
    <t>*, plus, minus</t>
  </si>
  <si>
    <t>* higher</t>
  </si>
  <si>
    <t>/, plus, minus</t>
  </si>
  <si>
    <t>/ higher</t>
  </si>
  <si>
    <t>*, /</t>
  </si>
  <si>
    <t>*, / same</t>
  </si>
  <si>
    <t>**, *, /</t>
  </si>
  <si>
    <t>** higher</t>
  </si>
  <si>
    <t>All</t>
  </si>
  <si>
    <t>Correct eval</t>
  </si>
  <si>
    <t>Mismatched</t>
  </si>
  <si>
    <t>Chars</t>
  </si>
  <si>
    <t>Optional.empty()</t>
  </si>
  <si>
    <t>ASCII, no spaces</t>
  </si>
  <si>
    <t>Valid hash</t>
  </si>
  <si>
    <t>Spaces inside</t>
  </si>
  <si>
    <t>Lead/trail space</t>
  </si>
  <si>
    <t>Non-ASCII</t>
  </si>
  <si>
    <t>Long</t>
  </si>
  <si>
    <t>ASCII</t>
  </si>
  <si>
    <t>ASCII, mixed case</t>
  </si>
  <si>
    <t>Hash should change</t>
  </si>
  <si>
    <t>Sheet</t>
  </si>
  <si>
    <t>Mutated</t>
  </si>
  <si>
    <t>Delta</t>
  </si>
  <si>
    <t>Java0</t>
  </si>
  <si>
    <t>Java1</t>
  </si>
  <si>
    <t>Java5</t>
  </si>
  <si>
    <t>Java8</t>
  </si>
  <si>
    <t>Java13</t>
  </si>
  <si>
    <t>Java16</t>
  </si>
  <si>
    <t>Java18</t>
  </si>
  <si>
    <t>Java20</t>
  </si>
  <si>
    <t>Java25</t>
  </si>
  <si>
    <t>Java29</t>
  </si>
  <si>
    <t>Java32</t>
  </si>
  <si>
    <t>Java40</t>
  </si>
  <si>
    <t>Java44</t>
  </si>
  <si>
    <t>Java46</t>
  </si>
  <si>
    <t>Java48</t>
  </si>
  <si>
    <t>Java55</t>
  </si>
  <si>
    <t>Java57</t>
  </si>
  <si>
    <t>Java58</t>
  </si>
  <si>
    <t>Java65</t>
  </si>
  <si>
    <t>Java69</t>
  </si>
  <si>
    <t>Java76</t>
  </si>
  <si>
    <t>Java109</t>
  </si>
  <si>
    <t>Java110</t>
  </si>
  <si>
    <t>Java124</t>
  </si>
  <si>
    <t>Java129</t>
  </si>
  <si>
    <t>Java140</t>
  </si>
  <si>
    <t>Java141</t>
  </si>
  <si>
    <t>Java156</t>
  </si>
  <si>
    <t>Java160</t>
  </si>
  <si>
    <t>Java162</t>
  </si>
  <si>
    <r>
      <t>3/9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33.33%</t>
    </r>
    <r>
      <rPr>
        <sz val="14"/>
        <color theme="1"/>
        <rFont val="Arial"/>
        <family val="2"/>
        <scheme val="minor"/>
      </rPr>
      <t>)</t>
    </r>
  </si>
  <si>
    <r>
      <t>7/9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77.78%</t>
    </r>
    <r>
      <rPr>
        <sz val="14"/>
        <color theme="1"/>
        <rFont val="Arial"/>
        <family val="2"/>
        <scheme val="minor"/>
      </rPr>
      <t>)</t>
    </r>
  </si>
  <si>
    <r>
      <t>2/11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18.18%</t>
    </r>
    <r>
      <rPr>
        <sz val="14"/>
        <color theme="1"/>
        <rFont val="Arial"/>
        <family val="2"/>
        <scheme val="minor"/>
      </rPr>
      <t>)</t>
    </r>
  </si>
  <si>
    <r>
      <t>10/11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90.91%</t>
    </r>
    <r>
      <rPr>
        <sz val="14"/>
        <color theme="1"/>
        <rFont val="Arial"/>
        <family val="2"/>
        <scheme val="minor"/>
      </rPr>
      <t>)</t>
    </r>
  </si>
  <si>
    <r>
      <t>2/6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33.33%</t>
    </r>
    <r>
      <rPr>
        <sz val="14"/>
        <color theme="1"/>
        <rFont val="Arial"/>
        <family val="2"/>
        <scheme val="minor"/>
      </rPr>
      <t>)</t>
    </r>
  </si>
  <si>
    <r>
      <t>5/6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83.33%</t>
    </r>
    <r>
      <rPr>
        <sz val="14"/>
        <color theme="1"/>
        <rFont val="Arial"/>
        <family val="2"/>
        <scheme val="minor"/>
      </rPr>
      <t>)</t>
    </r>
  </si>
  <si>
    <r>
      <t>3/7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42.86%</t>
    </r>
    <r>
      <rPr>
        <sz val="14"/>
        <color theme="1"/>
        <rFont val="Arial"/>
        <family val="2"/>
        <scheme val="minor"/>
      </rPr>
      <t>)</t>
    </r>
  </si>
  <si>
    <r>
      <t>6/7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85.71%</t>
    </r>
    <r>
      <rPr>
        <sz val="14"/>
        <color theme="1"/>
        <rFont val="Arial"/>
        <family val="2"/>
        <scheme val="minor"/>
      </rPr>
      <t>)</t>
    </r>
  </si>
  <si>
    <r>
      <t>2/15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13.33%</t>
    </r>
    <r>
      <rPr>
        <sz val="14"/>
        <color theme="1"/>
        <rFont val="Arial"/>
        <family val="2"/>
        <scheme val="minor"/>
      </rPr>
      <t>)</t>
    </r>
  </si>
  <si>
    <r>
      <t>12/15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80.00%</t>
    </r>
    <r>
      <rPr>
        <sz val="14"/>
        <color theme="1"/>
        <rFont val="Arial"/>
        <family val="2"/>
        <scheme val="minor"/>
      </rPr>
      <t>)</t>
    </r>
  </si>
  <si>
    <r>
      <t>3/5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60.00%</t>
    </r>
    <r>
      <rPr>
        <sz val="14"/>
        <color theme="1"/>
        <rFont val="Arial"/>
        <family val="2"/>
        <scheme val="minor"/>
      </rPr>
      <t>)</t>
    </r>
  </si>
  <si>
    <r>
      <t>5/5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100.00%</t>
    </r>
    <r>
      <rPr>
        <sz val="14"/>
        <color theme="1"/>
        <rFont val="Arial"/>
        <family val="2"/>
        <scheme val="minor"/>
      </rPr>
      <t>)</t>
    </r>
  </si>
  <si>
    <r>
      <t>4/12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33.33%</t>
    </r>
    <r>
      <rPr>
        <sz val="14"/>
        <color theme="1"/>
        <rFont val="Arial"/>
        <family val="2"/>
        <scheme val="minor"/>
      </rPr>
      <t>)</t>
    </r>
  </si>
  <si>
    <r>
      <t>7/12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58.33%</t>
    </r>
    <r>
      <rPr>
        <sz val="14"/>
        <color theme="1"/>
        <rFont val="Arial"/>
        <family val="2"/>
        <scheme val="minor"/>
      </rPr>
      <t>)</t>
    </r>
  </si>
  <si>
    <r>
      <t>2/5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40.00%</t>
    </r>
    <r>
      <rPr>
        <sz val="14"/>
        <color theme="1"/>
        <rFont val="Arial"/>
        <family val="2"/>
        <scheme val="minor"/>
      </rPr>
      <t>)</t>
    </r>
  </si>
  <si>
    <r>
      <t>3/6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50.00%</t>
    </r>
    <r>
      <rPr>
        <sz val="14"/>
        <color theme="1"/>
        <rFont val="Arial"/>
        <family val="2"/>
        <scheme val="minor"/>
      </rPr>
      <t>)</t>
    </r>
  </si>
  <si>
    <r>
      <t>4/6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66.67%</t>
    </r>
    <r>
      <rPr>
        <sz val="14"/>
        <color theme="1"/>
        <rFont val="Arial"/>
        <family val="2"/>
        <scheme val="minor"/>
      </rPr>
      <t>)</t>
    </r>
  </si>
  <si>
    <r>
      <t>6/9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66.67%</t>
    </r>
    <r>
      <rPr>
        <sz val="14"/>
        <color theme="1"/>
        <rFont val="Arial"/>
        <family val="2"/>
        <scheme val="minor"/>
      </rPr>
      <t>)</t>
    </r>
  </si>
  <si>
    <r>
      <t>2/10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20.00%</t>
    </r>
    <r>
      <rPr>
        <sz val="14"/>
        <color theme="1"/>
        <rFont val="Arial"/>
        <family val="2"/>
        <scheme val="minor"/>
      </rPr>
      <t>)</t>
    </r>
  </si>
  <si>
    <r>
      <t>6/10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60.00%</t>
    </r>
    <r>
      <rPr>
        <sz val="14"/>
        <color theme="1"/>
        <rFont val="Arial"/>
        <family val="2"/>
        <scheme val="minor"/>
      </rPr>
      <t>)</t>
    </r>
  </si>
  <si>
    <r>
      <t>3/8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37.50%</t>
    </r>
    <r>
      <rPr>
        <sz val="14"/>
        <color theme="1"/>
        <rFont val="Arial"/>
        <family val="2"/>
        <scheme val="minor"/>
      </rPr>
      <t>)</t>
    </r>
  </si>
  <si>
    <r>
      <t>7/8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87.50%</t>
    </r>
    <r>
      <rPr>
        <sz val="14"/>
        <color theme="1"/>
        <rFont val="Arial"/>
        <family val="2"/>
        <scheme val="minor"/>
      </rPr>
      <t>)</t>
    </r>
  </si>
  <si>
    <r>
      <t>2/7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28.57%</t>
    </r>
    <r>
      <rPr>
        <sz val="14"/>
        <color theme="1"/>
        <rFont val="Arial"/>
        <family val="2"/>
        <scheme val="minor"/>
      </rPr>
      <t>)</t>
    </r>
  </si>
  <si>
    <r>
      <t>1/9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11.11%</t>
    </r>
    <r>
      <rPr>
        <sz val="14"/>
        <color theme="1"/>
        <rFont val="Arial"/>
        <family val="2"/>
        <scheme val="minor"/>
      </rPr>
      <t>)</t>
    </r>
  </si>
  <si>
    <r>
      <t>8/9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88.89%</t>
    </r>
    <r>
      <rPr>
        <sz val="14"/>
        <color theme="1"/>
        <rFont val="Arial"/>
        <family val="2"/>
        <scheme val="minor"/>
      </rPr>
      <t>)</t>
    </r>
  </si>
  <si>
    <r>
      <t>3/19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15.79%</t>
    </r>
    <r>
      <rPr>
        <sz val="14"/>
        <color theme="1"/>
        <rFont val="Arial"/>
        <family val="2"/>
        <scheme val="minor"/>
      </rPr>
      <t>)</t>
    </r>
  </si>
  <si>
    <r>
      <t>16/19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84.21%</t>
    </r>
    <r>
      <rPr>
        <sz val="14"/>
        <color theme="1"/>
        <rFont val="Arial"/>
        <family val="2"/>
        <scheme val="minor"/>
      </rPr>
      <t>)</t>
    </r>
  </si>
  <si>
    <r>
      <t>2/9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22.22%</t>
    </r>
    <r>
      <rPr>
        <sz val="14"/>
        <color theme="1"/>
        <rFont val="Arial"/>
        <family val="2"/>
        <scheme val="minor"/>
      </rPr>
      <t>)</t>
    </r>
  </si>
  <si>
    <r>
      <t>5/13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38.46%</t>
    </r>
    <r>
      <rPr>
        <sz val="14"/>
        <color theme="1"/>
        <rFont val="Arial"/>
        <family val="2"/>
        <scheme val="minor"/>
      </rPr>
      <t>)</t>
    </r>
  </si>
  <si>
    <r>
      <t>10/13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76.92%</t>
    </r>
    <r>
      <rPr>
        <sz val="14"/>
        <color theme="1"/>
        <rFont val="Arial"/>
        <family val="2"/>
        <scheme val="minor"/>
      </rPr>
      <t>)</t>
    </r>
  </si>
  <si>
    <r>
      <t>7/10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70.00%</t>
    </r>
    <r>
      <rPr>
        <sz val="14"/>
        <color theme="1"/>
        <rFont val="Arial"/>
        <family val="2"/>
        <scheme val="minor"/>
      </rPr>
      <t>)</t>
    </r>
  </si>
  <si>
    <r>
      <t>9/10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90.00%</t>
    </r>
    <r>
      <rPr>
        <sz val="14"/>
        <color theme="1"/>
        <rFont val="Arial"/>
        <family val="2"/>
        <scheme val="minor"/>
      </rPr>
      <t>)</t>
    </r>
  </si>
  <si>
    <r>
      <t>4/9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44.44%</t>
    </r>
    <r>
      <rPr>
        <sz val="14"/>
        <color theme="1"/>
        <rFont val="Arial"/>
        <family val="2"/>
        <scheme val="minor"/>
      </rPr>
      <t>)</t>
    </r>
  </si>
  <si>
    <r>
      <t>5/9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55.56%</t>
    </r>
    <r>
      <rPr>
        <sz val="14"/>
        <color theme="1"/>
        <rFont val="Arial"/>
        <family val="2"/>
        <scheme val="minor"/>
      </rPr>
      <t>)</t>
    </r>
  </si>
  <si>
    <r>
      <t>4/8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50.00%</t>
    </r>
    <r>
      <rPr>
        <sz val="14"/>
        <color theme="1"/>
        <rFont val="Arial"/>
        <family val="2"/>
        <scheme val="minor"/>
      </rPr>
      <t>)</t>
    </r>
  </si>
  <si>
    <r>
      <t>5/8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62.50%</t>
    </r>
    <r>
      <rPr>
        <sz val="14"/>
        <color theme="1"/>
        <rFont val="Arial"/>
        <family val="2"/>
        <scheme val="minor"/>
      </rPr>
      <t>)</t>
    </r>
  </si>
  <si>
    <r>
      <t>9/19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47.37%</t>
    </r>
    <r>
      <rPr>
        <sz val="14"/>
        <color theme="1"/>
        <rFont val="Arial"/>
        <family val="2"/>
        <scheme val="minor"/>
      </rPr>
      <t>)</t>
    </r>
  </si>
  <si>
    <r>
      <t>15/19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78.95%</t>
    </r>
    <r>
      <rPr>
        <sz val="14"/>
        <color theme="1"/>
        <rFont val="Arial"/>
        <family val="2"/>
        <scheme val="minor"/>
      </rPr>
      <t>)</t>
    </r>
  </si>
  <si>
    <r>
      <t>4/10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40.00%</t>
    </r>
    <r>
      <rPr>
        <sz val="14"/>
        <color theme="1"/>
        <rFont val="Arial"/>
        <family val="2"/>
        <scheme val="minor"/>
      </rPr>
      <t>)</t>
    </r>
  </si>
  <si>
    <r>
      <t>8/10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80.00%</t>
    </r>
    <r>
      <rPr>
        <sz val="14"/>
        <color theme="1"/>
        <rFont val="Arial"/>
        <family val="2"/>
        <scheme val="minor"/>
      </rPr>
      <t>)</t>
    </r>
  </si>
  <si>
    <r>
      <t>5/7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71.43%</t>
    </r>
    <r>
      <rPr>
        <sz val="14"/>
        <color theme="1"/>
        <rFont val="Arial"/>
        <family val="2"/>
        <scheme val="minor"/>
      </rPr>
      <t>)</t>
    </r>
  </si>
  <si>
    <r>
      <t>8/11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72.73%</t>
    </r>
    <r>
      <rPr>
        <sz val="14"/>
        <color theme="1"/>
        <rFont val="Arial"/>
        <family val="2"/>
        <scheme val="minor"/>
      </rPr>
      <t>)</t>
    </r>
  </si>
  <si>
    <r>
      <t>10/16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62.50%</t>
    </r>
    <r>
      <rPr>
        <sz val="14"/>
        <color theme="1"/>
        <rFont val="Arial"/>
        <family val="2"/>
        <scheme val="minor"/>
      </rPr>
      <t>)</t>
    </r>
  </si>
  <si>
    <r>
      <t>16/16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100.00%</t>
    </r>
    <r>
      <rPr>
        <sz val="14"/>
        <color theme="1"/>
        <rFont val="Arial"/>
        <family val="2"/>
        <scheme val="minor"/>
      </rPr>
      <t>)</t>
    </r>
  </si>
  <si>
    <r>
      <t>2/16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12.50%</t>
    </r>
    <r>
      <rPr>
        <sz val="14"/>
        <color theme="1"/>
        <rFont val="Arial"/>
        <family val="2"/>
        <scheme val="minor"/>
      </rPr>
      <t>)</t>
    </r>
  </si>
  <si>
    <r>
      <t>15/16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93.75%</t>
    </r>
    <r>
      <rPr>
        <sz val="14"/>
        <color theme="1"/>
        <rFont val="Arial"/>
        <family val="2"/>
        <scheme val="minor"/>
      </rPr>
      <t>)</t>
    </r>
  </si>
  <si>
    <r>
      <t>8/8</t>
    </r>
    <r>
      <rPr>
        <sz val="14"/>
        <color theme="1"/>
        <rFont val="Arial"/>
        <family val="2"/>
        <scheme val="minor"/>
      </rPr>
      <t> (</t>
    </r>
    <r>
      <rPr>
        <sz val="9"/>
        <color theme="1"/>
        <rFont val="Menlo"/>
        <family val="2"/>
      </rPr>
      <t>100.00%</t>
    </r>
    <r>
      <rPr>
        <sz val="14"/>
        <color theme="1"/>
        <rFont val="Arial"/>
        <family val="2"/>
        <scheme val="minor"/>
      </rPr>
      <t>)</t>
    </r>
  </si>
  <si>
    <t>- Total equivalence classes: 296</t>
  </si>
  <si>
    <t>- Covered by base tests: 109 / 296 = 36.82%</t>
  </si>
  <si>
    <t>- Covered by mutated tests: 241 / 296 = 81.42%</t>
  </si>
  <si>
    <t>- Improvement: +132 ECs = +44.60 percentage points</t>
  </si>
  <si>
    <t>- Still uncovered after mutation: 55 / 296 = 18.58%</t>
  </si>
  <si>
    <t>Covered by MutationDatasetTest?</t>
  </si>
  <si>
    <t>Total suites</t>
  </si>
  <si>
    <t>Passed suites</t>
  </si>
  <si>
    <t>Failed suites</t>
  </si>
  <si>
    <t>Total tests</t>
  </si>
  <si>
    <t>Passed tests</t>
  </si>
  <si>
    <t>Failed tests</t>
  </si>
  <si>
    <t>Errors</t>
  </si>
  <si>
    <t>Skipped</t>
  </si>
  <si>
    <t>Suite</t>
  </si>
  <si>
    <t>Tests</t>
  </si>
  <si>
    <t>Failures</t>
  </si>
  <si>
    <t>Time (s)</t>
  </si>
  <si>
    <t>Failure summary</t>
  </si>
  <si>
    <t>gpt54.task1.MutationDatasetTest</t>
  </si>
  <si>
    <t>runsDatasetMutationChecks: Multiple Failures (1 failure) org.opentest4j.AssertionFailedError: Expected java.lang.Throwable to be thrown, but nothing was thrown.</t>
  </si>
  <si>
    <t>gpt54.task129.MutationDatasetTest</t>
  </si>
  <si>
    <t>runsDatasetMutationChecks: Multiple Failures (4 failures) org.opentest4j.AssertionFailedError: Expected java.lang.Throwable to be thrown, but nothing was thrown. org.opentest4j.AssertionFailedError: Expected java.lang.Throwable to be thrown, but n</t>
  </si>
  <si>
    <t>gpt54.task13.MutationDatasetTest</t>
  </si>
  <si>
    <t>gpt54.task156.MutationDatasetTest</t>
  </si>
  <si>
    <t>runsDatasetMutationChecks: Multiple Failures (2 failures) org.opentest4j.AssertionFailedError: Expected java.lang.Throwable to be thrown, but nothing was thrown. org.opentest4j.AssertionFailedError: Expected java.lang.Throwable to be thrown, but n</t>
  </si>
  <si>
    <t>gpt54.task160.MutationDatasetTest</t>
  </si>
  <si>
    <t>runsDatasetMutationChecks: Multiple Failures (2 failures) org.opentest4j.AssertionFailedError: expected: &lt;64&gt; but was: &lt;512&gt; org.opentest4j.AssertionFailedError: Expected java.lang.Throwable to be thrown, but nothing was thrown.</t>
  </si>
  <si>
    <t>gpt54.task32.MutationDatasetTest</t>
  </si>
  <si>
    <t>gpt54.task44.MutationDatasetTest</t>
  </si>
  <si>
    <t>gpt54.task46.MutationDatasetTest</t>
  </si>
  <si>
    <t>gpt54.task55.MutationDatasetTest</t>
  </si>
  <si>
    <t>Status</t>
  </si>
  <si>
    <t>gpt54.task0.MutationDatasetTest</t>
  </si>
  <si>
    <t>PASS</t>
  </si>
  <si>
    <t>gpt54.task0.SolutionTest</t>
  </si>
  <si>
    <t>FAIL</t>
  </si>
  <si>
    <t>gpt54.task1.SolutionTest</t>
  </si>
  <si>
    <t>gpt54.task109.MutationDatasetTest</t>
  </si>
  <si>
    <t>gpt54.task109.SolutionTest</t>
  </si>
  <si>
    <t>gpt54.task110.MutationDatasetTest</t>
  </si>
  <si>
    <t>gpt54.task110.SolutionTest</t>
  </si>
  <si>
    <t>gpt54.task124.MutationDatasetTest</t>
  </si>
  <si>
    <t>gpt54.task124.SolutionTest</t>
  </si>
  <si>
    <t>gpt54.task129.SolutionTest</t>
  </si>
  <si>
    <t>gpt54.task13.SolutionTest</t>
  </si>
  <si>
    <t>gpt54.task140.MutationDatasetTest</t>
  </si>
  <si>
    <t>gpt54.task140.SolutionTest</t>
  </si>
  <si>
    <t>gpt54.task141.MutationDatasetTest</t>
  </si>
  <si>
    <t>gpt54.task141.SolutionTest</t>
  </si>
  <si>
    <t>gpt54.task156.SolutionTest</t>
  </si>
  <si>
    <t>gpt54.task16.MutationDatasetTest</t>
  </si>
  <si>
    <t>gpt54.task16.SolutionTest</t>
  </si>
  <si>
    <t>gpt54.task160.SolutionTest</t>
  </si>
  <si>
    <t>gpt54.task162.MutationDatasetTest</t>
  </si>
  <si>
    <t>gpt54.task162.SolutionTest</t>
  </si>
  <si>
    <t>gpt54.task18.MutationDatasetTest</t>
  </si>
  <si>
    <t>gpt54.task18.SolutionTest</t>
  </si>
  <si>
    <t>gpt54.task20.MutationDatasetTest</t>
  </si>
  <si>
    <t>gpt54.task20.SolutionTest</t>
  </si>
  <si>
    <t>gpt54.task25.MutationDatasetTest</t>
  </si>
  <si>
    <t>gpt54.task25.SolutionTest</t>
  </si>
  <si>
    <t>gpt54.task29.MutationDatasetTest</t>
  </si>
  <si>
    <t>gpt54.task29.SolutionTest</t>
  </si>
  <si>
    <t>gpt54.task32.SolutionTest</t>
  </si>
  <si>
    <t>gpt54.task40.MutationDatasetTest</t>
  </si>
  <si>
    <t>gpt54.task40.SolutionTest</t>
  </si>
  <si>
    <t>gpt54.task44.SolutionTest</t>
  </si>
  <si>
    <t>gpt54.task46.SolutionTest</t>
  </si>
  <si>
    <t>gpt54.task48.MutationDatasetTest</t>
  </si>
  <si>
    <t>gpt54.task48.SolutionTest</t>
  </si>
  <si>
    <t>gpt54.task5.MutationDatasetTest</t>
  </si>
  <si>
    <t>gpt54.task5.SolutionTest</t>
  </si>
  <si>
    <t>gpt54.task55.SolutionTest</t>
  </si>
  <si>
    <t>gpt54.task57.MutationDatasetTest</t>
  </si>
  <si>
    <t>gpt54.task57.SolutionTest</t>
  </si>
  <si>
    <t>gpt54.task58.MutationDatasetTest</t>
  </si>
  <si>
    <t>gpt54.task58.SolutionTest</t>
  </si>
  <si>
    <t>gpt54.task65.MutationDatasetTest</t>
  </si>
  <si>
    <t>gpt54.task65.SolutionTest</t>
  </si>
  <si>
    <t>gpt54.task69.MutationDatasetTest</t>
  </si>
  <si>
    <t>gpt54.task69.SolutionTest</t>
  </si>
  <si>
    <t>gpt54.task76.MutationDatasetTest</t>
  </si>
  <si>
    <t>gpt54.task76.SolutionTest</t>
  </si>
  <si>
    <t>gpt54.task8.MutationDatasetTest</t>
  </si>
  <si>
    <t>gpt54.task8.SolutionTest</t>
  </si>
  <si>
    <t>Full Test Run (gpt54 only)</t>
  </si>
  <si>
    <t>Failed cases</t>
  </si>
  <si>
    <t>Failed case(s)</t>
  </si>
  <si>
    <t>line 34: assertThrows on s.separateParenGroups("(()")</t>
  </si>
  <si>
    <t>line 23: non-square grid; line 24: N &lt; 2; line 25: k = 0; line 26: repeated values grid</t>
  </si>
  <si>
    <t>line 28: assertThrows on s.greatestCommonDivisor(0, 0)</t>
  </si>
  <si>
    <t>line 32: assertThrows on s.intToMiniRoman(0); line 33: assertThrows on s.intToMiniRoman(1001)</t>
  </si>
  <si>
    <t>line 23: expected 64 for doAlgebra(["**", "**"], [2, 3, 2]) but got 512; line 30: assertThrows on s.doAlgebra(List.of(), List.of(1))</t>
  </si>
  <si>
    <t>line 37: assertThrows on s.findZero(List.of(1.0, 0.0, 1.0)); line 38: assertThrows on s.findZero(List.of(0.0, 0.0, 0.0))</t>
  </si>
  <si>
    <t>line 24: assertThrows on s.changeBase(5, 1)</t>
  </si>
  <si>
    <t>line 26: assertThrows on s.fib4(-1)</t>
  </si>
  <si>
    <t>line 24: assertThrows on s.fib(0); line 25: assertThrows on s.fib(-1)</t>
  </si>
  <si>
    <t>All suite results (gpt54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</si>
</sst>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  <scheme val="minor"/>
    </font>
    <font>
      <sz val="9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49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93DA-B4E3-4349-9AE3-137E67A4A1FB}">
  <dimension ref="A1:G128"/>
  <sheetViews>
    <sheetView tabSelected="1" topLeftCell="A8" zoomScale="85" workbookViewId="0">
      <selection activeCell="G106" sqref="G106"/>
    </sheetView>
  </sheetViews>
  <sheetFormatPr defaultColWidth="11.42578125" defaultRowHeight="12.75"/>
  <cols>
    <col min="1" max="1" width="31.140625" bestFit="1" customWidth="1"/>
    <col min="2" max="2" width="106.42578125" bestFit="1" customWidth="1"/>
    <col min="3" max="3" width="15.28515625" bestFit="1" customWidth="1"/>
    <col min="4" max="5" width="7.7109375" bestFit="1" customWidth="1"/>
    <col min="6" max="6" width="46.5703125" bestFit="1" customWidth="1"/>
    <col min="7" max="7" width="213.28515625" bestFit="1" customWidth="1"/>
  </cols>
  <sheetData>
    <row r="1" spans="1:6" ht="18">
      <c r="A1" s="6" t="s">
        <v>358</v>
      </c>
      <c r="B1" s="6" t="s">
        <v>159</v>
      </c>
      <c r="C1" s="6" t="s">
        <v>359</v>
      </c>
      <c r="D1" s="6" t="s">
        <v>360</v>
      </c>
      <c r="F1" t="s">
        <v>438</v>
      </c>
    </row>
    <row r="2" spans="1:6" ht="18">
      <c r="A2" s="7" t="s">
        <v>361</v>
      </c>
      <c r="B2" s="7" t="s">
        <v>391</v>
      </c>
      <c r="C2" s="7" t="s">
        <v>392</v>
      </c>
      <c r="D2" s="7">
        <v>4</v>
      </c>
      <c r="F2" t="s">
        <v>439</v>
      </c>
    </row>
    <row r="3" spans="1:6" ht="18">
      <c r="A3" s="7" t="s">
        <v>362</v>
      </c>
      <c r="B3" s="7" t="s">
        <v>393</v>
      </c>
      <c r="C3" s="7" t="s">
        <v>394</v>
      </c>
      <c r="D3" s="7">
        <v>8</v>
      </c>
      <c r="F3" t="s">
        <v>440</v>
      </c>
    </row>
    <row r="4" spans="1:6" ht="18">
      <c r="A4" s="7" t="s">
        <v>363</v>
      </c>
      <c r="B4" s="7" t="s">
        <v>395</v>
      </c>
      <c r="C4" s="7" t="s">
        <v>396</v>
      </c>
      <c r="D4" s="7">
        <v>3</v>
      </c>
      <c r="F4" t="s">
        <v>441</v>
      </c>
    </row>
    <row r="5" spans="1:6" ht="18">
      <c r="A5" s="7" t="s">
        <v>364</v>
      </c>
      <c r="B5" s="7" t="s">
        <v>397</v>
      </c>
      <c r="C5" s="7" t="s">
        <v>398</v>
      </c>
      <c r="D5" s="7">
        <v>3</v>
      </c>
      <c r="F5" t="s">
        <v>442</v>
      </c>
    </row>
    <row r="6" spans="1:6" ht="18">
      <c r="A6" s="7" t="s">
        <v>365</v>
      </c>
      <c r="B6" s="7" t="s">
        <v>399</v>
      </c>
      <c r="C6" s="7" t="s">
        <v>400</v>
      </c>
      <c r="D6" s="7">
        <v>10</v>
      </c>
    </row>
    <row r="7" spans="1:6" ht="18">
      <c r="A7" s="7" t="s">
        <v>366</v>
      </c>
      <c r="B7" s="7" t="s">
        <v>401</v>
      </c>
      <c r="C7" s="7" t="s">
        <v>402</v>
      </c>
      <c r="D7" s="7">
        <v>2</v>
      </c>
    </row>
    <row r="8" spans="1:6" ht="18">
      <c r="A8" s="7" t="s">
        <v>367</v>
      </c>
      <c r="B8" s="7" t="s">
        <v>403</v>
      </c>
      <c r="C8" s="7" t="s">
        <v>404</v>
      </c>
      <c r="D8" s="7">
        <v>3</v>
      </c>
    </row>
    <row r="9" spans="1:6" ht="18">
      <c r="A9" s="7" t="s">
        <v>368</v>
      </c>
      <c r="B9" s="7" t="s">
        <v>405</v>
      </c>
      <c r="C9" s="7" t="s">
        <v>402</v>
      </c>
      <c r="D9" s="7">
        <v>3</v>
      </c>
    </row>
    <row r="10" spans="1:6" ht="18">
      <c r="A10" s="7" t="s">
        <v>369</v>
      </c>
      <c r="B10" s="7" t="s">
        <v>406</v>
      </c>
      <c r="C10" s="7" t="s">
        <v>407</v>
      </c>
      <c r="D10" s="7">
        <v>1</v>
      </c>
    </row>
    <row r="11" spans="1:6" ht="18">
      <c r="A11" s="7" t="s">
        <v>370</v>
      </c>
      <c r="B11" s="7" t="s">
        <v>391</v>
      </c>
      <c r="C11" s="7" t="s">
        <v>408</v>
      </c>
      <c r="D11" s="7">
        <v>3</v>
      </c>
    </row>
    <row r="12" spans="1:6" ht="18">
      <c r="A12" s="7" t="s">
        <v>371</v>
      </c>
      <c r="B12" s="7" t="s">
        <v>409</v>
      </c>
      <c r="C12" s="7" t="s">
        <v>410</v>
      </c>
      <c r="D12" s="7">
        <v>4</v>
      </c>
    </row>
    <row r="13" spans="1:6" ht="18">
      <c r="A13" s="7" t="s">
        <v>372</v>
      </c>
      <c r="B13" s="7" t="s">
        <v>411</v>
      </c>
      <c r="C13" s="7" t="s">
        <v>412</v>
      </c>
      <c r="D13" s="7">
        <v>4</v>
      </c>
    </row>
    <row r="14" spans="1:6" ht="18">
      <c r="A14" s="7" t="s">
        <v>373</v>
      </c>
      <c r="B14" s="7" t="s">
        <v>413</v>
      </c>
      <c r="C14" s="7" t="s">
        <v>398</v>
      </c>
      <c r="D14" s="7">
        <v>4</v>
      </c>
    </row>
    <row r="15" spans="1:6" ht="18">
      <c r="A15" s="7" t="s">
        <v>374</v>
      </c>
      <c r="B15" s="7" t="s">
        <v>414</v>
      </c>
      <c r="C15" s="7" t="s">
        <v>415</v>
      </c>
      <c r="D15" s="7">
        <v>7</v>
      </c>
    </row>
    <row r="16" spans="1:6" ht="18">
      <c r="A16" s="7" t="s">
        <v>375</v>
      </c>
      <c r="B16" s="7" t="s">
        <v>416</v>
      </c>
      <c r="C16" s="7" t="s">
        <v>417</v>
      </c>
      <c r="D16" s="7">
        <v>13</v>
      </c>
    </row>
    <row r="17" spans="1:4" ht="18">
      <c r="A17" s="7" t="s">
        <v>376</v>
      </c>
      <c r="B17" s="7" t="s">
        <v>418</v>
      </c>
      <c r="C17" s="7" t="s">
        <v>415</v>
      </c>
      <c r="D17" s="7">
        <v>6</v>
      </c>
    </row>
    <row r="18" spans="1:4" ht="18">
      <c r="A18" s="7" t="s">
        <v>377</v>
      </c>
      <c r="B18" s="7" t="s">
        <v>419</v>
      </c>
      <c r="C18" s="7" t="s">
        <v>420</v>
      </c>
      <c r="D18" s="7">
        <v>5</v>
      </c>
    </row>
    <row r="19" spans="1:4" ht="18">
      <c r="A19" s="7" t="s">
        <v>378</v>
      </c>
      <c r="B19" s="7" t="s">
        <v>418</v>
      </c>
      <c r="C19" s="7" t="s">
        <v>408</v>
      </c>
      <c r="D19" s="7">
        <v>4</v>
      </c>
    </row>
    <row r="20" spans="1:4" ht="18">
      <c r="A20" s="7" t="s">
        <v>379</v>
      </c>
      <c r="B20" s="7" t="s">
        <v>406</v>
      </c>
      <c r="C20" s="7" t="s">
        <v>407</v>
      </c>
      <c r="D20" s="7">
        <v>1</v>
      </c>
    </row>
    <row r="21" spans="1:4" ht="18">
      <c r="A21" s="7" t="s">
        <v>380</v>
      </c>
      <c r="B21" s="7" t="s">
        <v>421</v>
      </c>
      <c r="C21" s="7" t="s">
        <v>422</v>
      </c>
      <c r="D21" s="7">
        <v>2</v>
      </c>
    </row>
    <row r="22" spans="1:4" ht="18">
      <c r="A22" s="7" t="s">
        <v>381</v>
      </c>
      <c r="B22" s="7" t="s">
        <v>423</v>
      </c>
      <c r="C22" s="7" t="s">
        <v>424</v>
      </c>
      <c r="D22" s="7">
        <v>1</v>
      </c>
    </row>
    <row r="23" spans="1:4" ht="18">
      <c r="A23" s="7" t="s">
        <v>382</v>
      </c>
      <c r="B23" s="7" t="s">
        <v>397</v>
      </c>
      <c r="C23" s="7" t="s">
        <v>398</v>
      </c>
      <c r="D23" s="7">
        <v>3</v>
      </c>
    </row>
    <row r="24" spans="1:4" ht="18">
      <c r="A24" s="7" t="s">
        <v>383</v>
      </c>
      <c r="B24" s="7" t="s">
        <v>425</v>
      </c>
      <c r="C24" s="7" t="s">
        <v>426</v>
      </c>
      <c r="D24" s="7">
        <v>1</v>
      </c>
    </row>
    <row r="25" spans="1:4" ht="18">
      <c r="A25" s="7" t="s">
        <v>384</v>
      </c>
      <c r="B25" s="7" t="s">
        <v>427</v>
      </c>
      <c r="C25" s="7" t="s">
        <v>428</v>
      </c>
      <c r="D25" s="7">
        <v>6</v>
      </c>
    </row>
    <row r="26" spans="1:4" ht="18">
      <c r="A26" s="7" t="s">
        <v>385</v>
      </c>
      <c r="B26" s="7" t="s">
        <v>429</v>
      </c>
      <c r="C26" s="7" t="s">
        <v>430</v>
      </c>
      <c r="D26" s="7">
        <v>4</v>
      </c>
    </row>
    <row r="27" spans="1:4" ht="18">
      <c r="A27" s="7" t="s">
        <v>386</v>
      </c>
      <c r="B27" s="7" t="s">
        <v>431</v>
      </c>
      <c r="C27" s="7" t="s">
        <v>398</v>
      </c>
      <c r="D27" s="7">
        <v>1</v>
      </c>
    </row>
    <row r="28" spans="1:4" ht="18">
      <c r="A28" s="7" t="s">
        <v>387</v>
      </c>
      <c r="B28" s="7" t="s">
        <v>432</v>
      </c>
      <c r="C28" s="7" t="s">
        <v>394</v>
      </c>
      <c r="D28" s="7">
        <v>2</v>
      </c>
    </row>
    <row r="29" spans="1:4" ht="18">
      <c r="A29" s="7" t="s">
        <v>388</v>
      </c>
      <c r="B29" s="7" t="s">
        <v>433</v>
      </c>
      <c r="C29" s="7" t="s">
        <v>434</v>
      </c>
      <c r="D29" s="7">
        <v>6</v>
      </c>
    </row>
    <row r="30" spans="1:4" ht="18">
      <c r="A30" s="7" t="s">
        <v>389</v>
      </c>
      <c r="B30" s="7" t="s">
        <v>435</v>
      </c>
      <c r="C30" s="7" t="s">
        <v>436</v>
      </c>
      <c r="D30" s="7">
        <v>13</v>
      </c>
    </row>
    <row r="31" spans="1:4" ht="18">
      <c r="A31" s="7" t="s">
        <v>390</v>
      </c>
      <c r="B31" s="7" t="s">
        <v>411</v>
      </c>
      <c r="C31" s="7" t="s">
        <v>437</v>
      </c>
      <c r="D31" s="7">
        <v>5</v>
      </c>
    </row>
    <row r="33" spans="1:7">
      <c r="A33" t="s">
        <v>524</v>
      </c>
      <c r="B33" s="8">
        <v>46138.591990740744</v>
      </c>
    </row>
    <row r="34" spans="1:7">
      <c r="A34" t="s">
        <v>444</v>
      </c>
      <c r="B34">
        <v>60</v>
      </c>
    </row>
    <row r="35" spans="1:7">
      <c r="A35" t="s">
        <v>445</v>
      </c>
      <c r="B35">
        <v>51</v>
      </c>
    </row>
    <row r="36" spans="1:7">
      <c r="A36" t="s">
        <v>446</v>
      </c>
      <c r="B36">
        <v>9</v>
      </c>
    </row>
    <row r="37" spans="1:7">
      <c r="A37" t="s">
        <v>447</v>
      </c>
      <c r="B37">
        <v>128</v>
      </c>
    </row>
    <row r="38" spans="1:7">
      <c r="A38" t="s">
        <v>448</v>
      </c>
      <c r="B38">
        <v>119</v>
      </c>
    </row>
    <row r="39" spans="1:7">
      <c r="A39" t="s">
        <v>449</v>
      </c>
      <c r="B39">
        <v>9</v>
      </c>
    </row>
    <row r="40" spans="1:7">
      <c r="A40" t="s">
        <v>450</v>
      </c>
      <c r="B40">
        <v>0</v>
      </c>
    </row>
    <row r="41" spans="1:7">
      <c r="A41" t="s">
        <v>451</v>
      </c>
      <c r="B41">
        <v>0</v>
      </c>
    </row>
    <row r="43" spans="1:7">
      <c r="A43" t="s">
        <v>446</v>
      </c>
    </row>
    <row r="44" spans="1:7">
      <c r="A44" t="s">
        <v>452</v>
      </c>
      <c r="B44" t="s">
        <v>453</v>
      </c>
      <c r="C44" t="s">
        <v>454</v>
      </c>
      <c r="D44" t="s">
        <v>450</v>
      </c>
      <c r="E44" t="s">
        <v>451</v>
      </c>
      <c r="F44" t="s">
        <v>455</v>
      </c>
      <c r="G44" t="s">
        <v>456</v>
      </c>
    </row>
    <row r="45" spans="1:7">
      <c r="A45" t="s">
        <v>457</v>
      </c>
      <c r="B45">
        <v>1</v>
      </c>
      <c r="C45">
        <v>1</v>
      </c>
      <c r="D45">
        <v>0</v>
      </c>
      <c r="E45">
        <v>0</v>
      </c>
      <c r="F45">
        <v>3.5999999999999997E-2</v>
      </c>
      <c r="G45" t="s">
        <v>458</v>
      </c>
    </row>
    <row r="46" spans="1:7">
      <c r="A46" t="s">
        <v>459</v>
      </c>
      <c r="B46">
        <v>1</v>
      </c>
      <c r="C46">
        <v>1</v>
      </c>
      <c r="D46">
        <v>0</v>
      </c>
      <c r="E46">
        <v>0</v>
      </c>
      <c r="F46">
        <v>1.4999999999999999E-2</v>
      </c>
      <c r="G46" t="s">
        <v>460</v>
      </c>
    </row>
    <row r="47" spans="1:7">
      <c r="A47" t="s">
        <v>461</v>
      </c>
      <c r="B47">
        <v>1</v>
      </c>
      <c r="C47">
        <v>1</v>
      </c>
      <c r="D47">
        <v>0</v>
      </c>
      <c r="E47">
        <v>0</v>
      </c>
      <c r="F47">
        <v>8.9999999999999993E-3</v>
      </c>
      <c r="G47" t="s">
        <v>458</v>
      </c>
    </row>
    <row r="48" spans="1:7">
      <c r="A48" t="s">
        <v>462</v>
      </c>
      <c r="B48">
        <v>1</v>
      </c>
      <c r="C48">
        <v>1</v>
      </c>
      <c r="D48">
        <v>0</v>
      </c>
      <c r="E48">
        <v>0</v>
      </c>
      <c r="F48">
        <v>1.2E-2</v>
      </c>
      <c r="G48" t="s">
        <v>463</v>
      </c>
    </row>
    <row r="49" spans="1:7">
      <c r="A49" t="s">
        <v>464</v>
      </c>
      <c r="B49">
        <v>1</v>
      </c>
      <c r="C49">
        <v>1</v>
      </c>
      <c r="D49">
        <v>0</v>
      </c>
      <c r="E49">
        <v>0</v>
      </c>
      <c r="F49">
        <v>1.6E-2</v>
      </c>
      <c r="G49" t="s">
        <v>465</v>
      </c>
    </row>
    <row r="50" spans="1:7">
      <c r="A50" t="s">
        <v>466</v>
      </c>
      <c r="B50">
        <v>1</v>
      </c>
      <c r="C50">
        <v>1</v>
      </c>
      <c r="D50">
        <v>0</v>
      </c>
      <c r="E50">
        <v>0</v>
      </c>
      <c r="F50">
        <v>0.01</v>
      </c>
      <c r="G50" t="s">
        <v>463</v>
      </c>
    </row>
    <row r="51" spans="1:7">
      <c r="A51" t="s">
        <v>467</v>
      </c>
      <c r="B51">
        <v>1</v>
      </c>
      <c r="C51">
        <v>1</v>
      </c>
      <c r="D51">
        <v>0</v>
      </c>
      <c r="E51">
        <v>0</v>
      </c>
      <c r="F51">
        <v>19.704000000000001</v>
      </c>
      <c r="G51" t="s">
        <v>458</v>
      </c>
    </row>
    <row r="52" spans="1:7">
      <c r="A52" t="s">
        <v>468</v>
      </c>
      <c r="B52">
        <v>1</v>
      </c>
      <c r="C52">
        <v>1</v>
      </c>
      <c r="D52">
        <v>0</v>
      </c>
      <c r="E52">
        <v>0</v>
      </c>
      <c r="F52">
        <v>4.0000000000000001E-3</v>
      </c>
      <c r="G52" t="s">
        <v>458</v>
      </c>
    </row>
    <row r="53" spans="1:7">
      <c r="A53" t="s">
        <v>469</v>
      </c>
      <c r="B53">
        <v>1</v>
      </c>
      <c r="C53">
        <v>1</v>
      </c>
      <c r="D53">
        <v>0</v>
      </c>
      <c r="E53">
        <v>0</v>
      </c>
      <c r="F53">
        <v>6.0000000000000001E-3</v>
      </c>
      <c r="G53" t="s">
        <v>463</v>
      </c>
    </row>
    <row r="55" spans="1:7">
      <c r="A55" t="s">
        <v>525</v>
      </c>
    </row>
    <row r="56" spans="1:7">
      <c r="A56" t="s">
        <v>452</v>
      </c>
      <c r="B56" t="s">
        <v>526</v>
      </c>
    </row>
    <row r="57" spans="1:7">
      <c r="A57" t="s">
        <v>457</v>
      </c>
      <c r="B57" t="s">
        <v>527</v>
      </c>
    </row>
    <row r="58" spans="1:7">
      <c r="A58" t="s">
        <v>459</v>
      </c>
      <c r="B58" t="s">
        <v>528</v>
      </c>
    </row>
    <row r="59" spans="1:7">
      <c r="A59" t="s">
        <v>461</v>
      </c>
      <c r="B59" t="s">
        <v>529</v>
      </c>
    </row>
    <row r="60" spans="1:7">
      <c r="A60" t="s">
        <v>462</v>
      </c>
      <c r="B60" t="s">
        <v>530</v>
      </c>
    </row>
    <row r="61" spans="1:7">
      <c r="A61" t="s">
        <v>464</v>
      </c>
      <c r="B61" t="s">
        <v>531</v>
      </c>
    </row>
    <row r="62" spans="1:7">
      <c r="A62" t="s">
        <v>466</v>
      </c>
      <c r="B62" t="s">
        <v>532</v>
      </c>
    </row>
    <row r="63" spans="1:7">
      <c r="A63" t="s">
        <v>467</v>
      </c>
      <c r="B63" t="s">
        <v>533</v>
      </c>
    </row>
    <row r="64" spans="1:7">
      <c r="A64" t="s">
        <v>468</v>
      </c>
      <c r="B64" t="s">
        <v>534</v>
      </c>
    </row>
    <row r="65" spans="1:7">
      <c r="A65" t="s">
        <v>469</v>
      </c>
      <c r="B65" t="s">
        <v>535</v>
      </c>
    </row>
    <row r="67" spans="1:7">
      <c r="A67" t="s">
        <v>536</v>
      </c>
    </row>
    <row r="68" spans="1:7">
      <c r="A68" t="s">
        <v>452</v>
      </c>
      <c r="B68" t="s">
        <v>470</v>
      </c>
      <c r="C68" t="s">
        <v>453</v>
      </c>
      <c r="D68" t="s">
        <v>454</v>
      </c>
      <c r="E68" t="s">
        <v>450</v>
      </c>
      <c r="F68" t="s">
        <v>451</v>
      </c>
      <c r="G68" t="s">
        <v>455</v>
      </c>
    </row>
    <row r="69" spans="1:7">
      <c r="A69" t="s">
        <v>471</v>
      </c>
      <c r="B69" t="s">
        <v>472</v>
      </c>
      <c r="C69">
        <v>1</v>
      </c>
      <c r="D69">
        <v>0</v>
      </c>
      <c r="E69">
        <v>0</v>
      </c>
      <c r="F69">
        <v>0</v>
      </c>
      <c r="G69">
        <v>9.5000000000000001E-2</v>
      </c>
    </row>
    <row r="70" spans="1:7">
      <c r="A70" t="s">
        <v>473</v>
      </c>
      <c r="B70" t="s">
        <v>472</v>
      </c>
      <c r="C70">
        <v>4</v>
      </c>
      <c r="D70">
        <v>0</v>
      </c>
      <c r="E70">
        <v>0</v>
      </c>
      <c r="F70">
        <v>0</v>
      </c>
      <c r="G70">
        <v>1.7999999999999999E-2</v>
      </c>
    </row>
    <row r="71" spans="1:7">
      <c r="A71" t="s">
        <v>457</v>
      </c>
      <c r="B71" t="s">
        <v>474</v>
      </c>
      <c r="C71">
        <v>1</v>
      </c>
      <c r="D71">
        <v>1</v>
      </c>
      <c r="E71">
        <v>0</v>
      </c>
      <c r="F71">
        <v>0</v>
      </c>
      <c r="G71">
        <v>3.5999999999999997E-2</v>
      </c>
    </row>
    <row r="72" spans="1:7">
      <c r="A72" t="s">
        <v>475</v>
      </c>
      <c r="B72" t="s">
        <v>472</v>
      </c>
      <c r="C72">
        <v>4</v>
      </c>
      <c r="D72">
        <v>0</v>
      </c>
      <c r="E72">
        <v>0</v>
      </c>
      <c r="F72">
        <v>0</v>
      </c>
      <c r="G72">
        <v>1.2999999999999999E-2</v>
      </c>
    </row>
    <row r="73" spans="1:7">
      <c r="A73" t="s">
        <v>476</v>
      </c>
      <c r="B73" t="s">
        <v>472</v>
      </c>
      <c r="C73">
        <v>1</v>
      </c>
      <c r="D73">
        <v>0</v>
      </c>
      <c r="E73">
        <v>0</v>
      </c>
      <c r="F73">
        <v>0</v>
      </c>
      <c r="G73">
        <v>8.0000000000000002E-3</v>
      </c>
    </row>
    <row r="74" spans="1:7">
      <c r="A74" t="s">
        <v>477</v>
      </c>
      <c r="B74" t="s">
        <v>472</v>
      </c>
      <c r="C74">
        <v>1</v>
      </c>
      <c r="D74">
        <v>0</v>
      </c>
      <c r="E74">
        <v>0</v>
      </c>
      <c r="F74">
        <v>0</v>
      </c>
      <c r="G74">
        <v>4.0000000000000001E-3</v>
      </c>
    </row>
    <row r="75" spans="1:7">
      <c r="A75" t="s">
        <v>478</v>
      </c>
      <c r="B75" t="s">
        <v>472</v>
      </c>
      <c r="C75">
        <v>1</v>
      </c>
      <c r="D75">
        <v>0</v>
      </c>
      <c r="E75">
        <v>0</v>
      </c>
      <c r="F75">
        <v>0</v>
      </c>
      <c r="G75">
        <v>7.0000000000000001E-3</v>
      </c>
    </row>
    <row r="76" spans="1:7">
      <c r="A76" t="s">
        <v>479</v>
      </c>
      <c r="B76" t="s">
        <v>472</v>
      </c>
      <c r="C76">
        <v>1</v>
      </c>
      <c r="D76">
        <v>0</v>
      </c>
      <c r="E76">
        <v>0</v>
      </c>
      <c r="F76">
        <v>0</v>
      </c>
      <c r="G76">
        <v>4.0000000000000001E-3</v>
      </c>
    </row>
    <row r="77" spans="1:7">
      <c r="A77" t="s">
        <v>480</v>
      </c>
      <c r="B77" t="s">
        <v>472</v>
      </c>
      <c r="C77">
        <v>1</v>
      </c>
      <c r="D77">
        <v>0</v>
      </c>
      <c r="E77">
        <v>0</v>
      </c>
      <c r="F77">
        <v>0</v>
      </c>
      <c r="G77">
        <v>1.0999999999999999E-2</v>
      </c>
    </row>
    <row r="78" spans="1:7">
      <c r="A78" t="s">
        <v>481</v>
      </c>
      <c r="B78" t="s">
        <v>472</v>
      </c>
      <c r="C78">
        <v>12</v>
      </c>
      <c r="D78">
        <v>0</v>
      </c>
      <c r="E78">
        <v>0</v>
      </c>
      <c r="F78">
        <v>0</v>
      </c>
      <c r="G78">
        <v>0.14499999999999999</v>
      </c>
    </row>
    <row r="79" spans="1:7">
      <c r="A79" t="s">
        <v>459</v>
      </c>
      <c r="B79" t="s">
        <v>474</v>
      </c>
      <c r="C79">
        <v>1</v>
      </c>
      <c r="D79">
        <v>1</v>
      </c>
      <c r="E79">
        <v>0</v>
      </c>
      <c r="F79">
        <v>0</v>
      </c>
      <c r="G79">
        <v>1.4999999999999999E-2</v>
      </c>
    </row>
    <row r="80" spans="1:7">
      <c r="A80" t="s">
        <v>482</v>
      </c>
      <c r="B80" t="s">
        <v>472</v>
      </c>
      <c r="C80">
        <v>4</v>
      </c>
      <c r="D80">
        <v>0</v>
      </c>
      <c r="E80">
        <v>0</v>
      </c>
      <c r="F80">
        <v>0</v>
      </c>
      <c r="G80">
        <v>6.0000000000000001E-3</v>
      </c>
    </row>
    <row r="81" spans="1:7">
      <c r="A81" t="s">
        <v>461</v>
      </c>
      <c r="B81" t="s">
        <v>474</v>
      </c>
      <c r="C81">
        <v>1</v>
      </c>
      <c r="D81">
        <v>1</v>
      </c>
      <c r="E81">
        <v>0</v>
      </c>
      <c r="F81">
        <v>0</v>
      </c>
      <c r="G81">
        <v>8.9999999999999993E-3</v>
      </c>
    </row>
    <row r="82" spans="1:7">
      <c r="A82" t="s">
        <v>483</v>
      </c>
      <c r="B82" t="s">
        <v>472</v>
      </c>
      <c r="C82">
        <v>1</v>
      </c>
      <c r="D82">
        <v>0</v>
      </c>
      <c r="E82">
        <v>0</v>
      </c>
      <c r="F82">
        <v>0</v>
      </c>
      <c r="G82">
        <v>2E-3</v>
      </c>
    </row>
    <row r="83" spans="1:7">
      <c r="A83" t="s">
        <v>484</v>
      </c>
      <c r="B83" t="s">
        <v>472</v>
      </c>
      <c r="C83">
        <v>1</v>
      </c>
      <c r="D83">
        <v>0</v>
      </c>
      <c r="E83">
        <v>0</v>
      </c>
      <c r="F83">
        <v>0</v>
      </c>
      <c r="G83">
        <v>6.0000000000000001E-3</v>
      </c>
    </row>
    <row r="84" spans="1:7">
      <c r="A84" t="s">
        <v>485</v>
      </c>
      <c r="B84" t="s">
        <v>472</v>
      </c>
      <c r="C84">
        <v>1</v>
      </c>
      <c r="D84">
        <v>0</v>
      </c>
      <c r="E84">
        <v>0</v>
      </c>
      <c r="F84">
        <v>0</v>
      </c>
      <c r="G84">
        <v>3.0000000000000001E-3</v>
      </c>
    </row>
    <row r="85" spans="1:7">
      <c r="A85" t="s">
        <v>486</v>
      </c>
      <c r="B85" t="s">
        <v>472</v>
      </c>
      <c r="C85">
        <v>1</v>
      </c>
      <c r="D85">
        <v>0</v>
      </c>
      <c r="E85">
        <v>0</v>
      </c>
      <c r="F85">
        <v>0</v>
      </c>
      <c r="G85">
        <v>1.4E-2</v>
      </c>
    </row>
    <row r="86" spans="1:7">
      <c r="A86" t="s">
        <v>487</v>
      </c>
      <c r="B86" t="s">
        <v>472</v>
      </c>
      <c r="C86">
        <v>10</v>
      </c>
      <c r="D86">
        <v>0</v>
      </c>
      <c r="E86">
        <v>0</v>
      </c>
      <c r="F86">
        <v>0</v>
      </c>
      <c r="G86">
        <v>3.6999999999999998E-2</v>
      </c>
    </row>
    <row r="87" spans="1:7">
      <c r="A87" t="s">
        <v>462</v>
      </c>
      <c r="B87" t="s">
        <v>474</v>
      </c>
      <c r="C87">
        <v>1</v>
      </c>
      <c r="D87">
        <v>1</v>
      </c>
      <c r="E87">
        <v>0</v>
      </c>
      <c r="F87">
        <v>0</v>
      </c>
      <c r="G87">
        <v>1.2E-2</v>
      </c>
    </row>
    <row r="88" spans="1:7">
      <c r="A88" t="s">
        <v>488</v>
      </c>
      <c r="B88" t="s">
        <v>472</v>
      </c>
      <c r="C88">
        <v>1</v>
      </c>
      <c r="D88">
        <v>0</v>
      </c>
      <c r="E88">
        <v>0</v>
      </c>
      <c r="F88">
        <v>0</v>
      </c>
      <c r="G88">
        <v>3.0000000000000001E-3</v>
      </c>
    </row>
    <row r="89" spans="1:7">
      <c r="A89" t="s">
        <v>489</v>
      </c>
      <c r="B89" t="s">
        <v>472</v>
      </c>
      <c r="C89">
        <v>1</v>
      </c>
      <c r="D89">
        <v>0</v>
      </c>
      <c r="E89">
        <v>0</v>
      </c>
      <c r="F89">
        <v>0</v>
      </c>
      <c r="G89">
        <v>7.0000000000000001E-3</v>
      </c>
    </row>
    <row r="90" spans="1:7">
      <c r="A90" t="s">
        <v>490</v>
      </c>
      <c r="B90" t="s">
        <v>472</v>
      </c>
      <c r="C90">
        <v>1</v>
      </c>
      <c r="D90">
        <v>0</v>
      </c>
      <c r="E90">
        <v>0</v>
      </c>
      <c r="F90">
        <v>0</v>
      </c>
      <c r="G90">
        <v>2E-3</v>
      </c>
    </row>
    <row r="91" spans="1:7">
      <c r="A91" t="s">
        <v>464</v>
      </c>
      <c r="B91" t="s">
        <v>474</v>
      </c>
      <c r="C91">
        <v>1</v>
      </c>
      <c r="D91">
        <v>1</v>
      </c>
      <c r="E91">
        <v>0</v>
      </c>
      <c r="F91">
        <v>0</v>
      </c>
      <c r="G91">
        <v>1.6E-2</v>
      </c>
    </row>
    <row r="92" spans="1:7">
      <c r="A92" t="s">
        <v>491</v>
      </c>
      <c r="B92" t="s">
        <v>472</v>
      </c>
      <c r="C92">
        <v>5</v>
      </c>
      <c r="D92">
        <v>0</v>
      </c>
      <c r="E92">
        <v>0</v>
      </c>
      <c r="F92">
        <v>0</v>
      </c>
      <c r="G92">
        <v>1.2E-2</v>
      </c>
    </row>
    <row r="93" spans="1:7">
      <c r="A93" t="s">
        <v>492</v>
      </c>
      <c r="B93" t="s">
        <v>472</v>
      </c>
      <c r="C93">
        <v>1</v>
      </c>
      <c r="D93">
        <v>0</v>
      </c>
      <c r="E93">
        <v>0</v>
      </c>
      <c r="F93">
        <v>0</v>
      </c>
      <c r="G93">
        <v>3.1E-2</v>
      </c>
    </row>
    <row r="94" spans="1:7">
      <c r="A94" t="s">
        <v>493</v>
      </c>
      <c r="B94" t="s">
        <v>472</v>
      </c>
      <c r="C94">
        <v>1</v>
      </c>
      <c r="D94">
        <v>0</v>
      </c>
      <c r="E94">
        <v>0</v>
      </c>
      <c r="F94">
        <v>0</v>
      </c>
      <c r="G94">
        <v>4.0000000000000001E-3</v>
      </c>
    </row>
    <row r="95" spans="1:7">
      <c r="A95" t="s">
        <v>494</v>
      </c>
      <c r="B95" t="s">
        <v>472</v>
      </c>
      <c r="C95">
        <v>1</v>
      </c>
      <c r="D95">
        <v>0</v>
      </c>
      <c r="E95">
        <v>0</v>
      </c>
      <c r="F95">
        <v>0</v>
      </c>
      <c r="G95">
        <v>4.0000000000000001E-3</v>
      </c>
    </row>
    <row r="96" spans="1:7">
      <c r="A96" t="s">
        <v>495</v>
      </c>
      <c r="B96" t="s">
        <v>472</v>
      </c>
      <c r="C96">
        <v>4</v>
      </c>
      <c r="D96">
        <v>0</v>
      </c>
      <c r="E96">
        <v>0</v>
      </c>
      <c r="F96">
        <v>0</v>
      </c>
      <c r="G96">
        <v>8.0000000000000002E-3</v>
      </c>
    </row>
    <row r="97" spans="1:7">
      <c r="A97" t="s">
        <v>496</v>
      </c>
      <c r="B97" t="s">
        <v>472</v>
      </c>
      <c r="C97">
        <v>1</v>
      </c>
      <c r="D97">
        <v>0</v>
      </c>
      <c r="E97">
        <v>0</v>
      </c>
      <c r="F97">
        <v>0</v>
      </c>
      <c r="G97">
        <v>4.0000000000000001E-3</v>
      </c>
    </row>
    <row r="98" spans="1:7">
      <c r="A98" t="s">
        <v>497</v>
      </c>
      <c r="B98" t="s">
        <v>472</v>
      </c>
      <c r="C98">
        <v>1</v>
      </c>
      <c r="D98">
        <v>0</v>
      </c>
      <c r="E98">
        <v>0</v>
      </c>
      <c r="F98">
        <v>0</v>
      </c>
      <c r="G98">
        <v>2E-3</v>
      </c>
    </row>
    <row r="99" spans="1:7">
      <c r="A99" t="s">
        <v>498</v>
      </c>
      <c r="B99" t="s">
        <v>472</v>
      </c>
      <c r="C99">
        <v>1</v>
      </c>
      <c r="D99">
        <v>0</v>
      </c>
      <c r="E99">
        <v>0</v>
      </c>
      <c r="F99">
        <v>0</v>
      </c>
      <c r="G99">
        <v>6.0000000000000001E-3</v>
      </c>
    </row>
    <row r="100" spans="1:7">
      <c r="A100" t="s">
        <v>499</v>
      </c>
      <c r="B100" t="s">
        <v>472</v>
      </c>
      <c r="C100">
        <v>1</v>
      </c>
      <c r="D100">
        <v>0</v>
      </c>
      <c r="E100">
        <v>0</v>
      </c>
      <c r="F100">
        <v>0</v>
      </c>
      <c r="G100">
        <v>3.0000000000000001E-3</v>
      </c>
    </row>
    <row r="101" spans="1:7">
      <c r="A101" t="s">
        <v>500</v>
      </c>
      <c r="B101" t="s">
        <v>472</v>
      </c>
      <c r="C101">
        <v>1</v>
      </c>
      <c r="D101">
        <v>0</v>
      </c>
      <c r="E101">
        <v>0</v>
      </c>
      <c r="F101">
        <v>0</v>
      </c>
      <c r="G101">
        <v>5.0000000000000001E-3</v>
      </c>
    </row>
    <row r="102" spans="1:7">
      <c r="A102" t="s">
        <v>501</v>
      </c>
      <c r="B102" t="s">
        <v>472</v>
      </c>
      <c r="C102">
        <v>1</v>
      </c>
      <c r="D102">
        <v>0</v>
      </c>
      <c r="E102">
        <v>0</v>
      </c>
      <c r="F102">
        <v>0</v>
      </c>
      <c r="G102">
        <v>2E-3</v>
      </c>
    </row>
    <row r="103" spans="1:7">
      <c r="A103" t="s">
        <v>466</v>
      </c>
      <c r="B103" t="s">
        <v>474</v>
      </c>
      <c r="C103">
        <v>1</v>
      </c>
      <c r="D103">
        <v>1</v>
      </c>
      <c r="E103">
        <v>0</v>
      </c>
      <c r="F103">
        <v>0</v>
      </c>
      <c r="G103">
        <v>0.01</v>
      </c>
    </row>
    <row r="104" spans="1:7">
      <c r="A104" t="s">
        <v>502</v>
      </c>
      <c r="B104" t="s">
        <v>472</v>
      </c>
      <c r="C104">
        <v>4</v>
      </c>
      <c r="D104">
        <v>0</v>
      </c>
      <c r="E104">
        <v>0</v>
      </c>
      <c r="F104">
        <v>0</v>
      </c>
      <c r="G104">
        <v>8.0000000000000002E-3</v>
      </c>
    </row>
    <row r="105" spans="1:7">
      <c r="A105" t="s">
        <v>503</v>
      </c>
      <c r="B105" t="s">
        <v>472</v>
      </c>
      <c r="C105">
        <v>1</v>
      </c>
      <c r="D105">
        <v>0</v>
      </c>
      <c r="E105">
        <v>0</v>
      </c>
      <c r="F105">
        <v>0</v>
      </c>
      <c r="G105">
        <v>5.0000000000000001E-3</v>
      </c>
    </row>
    <row r="106" spans="1:7">
      <c r="A106" t="s">
        <v>504</v>
      </c>
      <c r="B106" t="s">
        <v>472</v>
      </c>
      <c r="C106">
        <v>1</v>
      </c>
      <c r="D106">
        <v>0</v>
      </c>
      <c r="E106">
        <v>0</v>
      </c>
      <c r="F106">
        <v>0</v>
      </c>
      <c r="G106">
        <v>2E-3</v>
      </c>
    </row>
    <row r="107" spans="1:7">
      <c r="A107" t="s">
        <v>467</v>
      </c>
      <c r="B107" t="s">
        <v>474</v>
      </c>
      <c r="C107">
        <v>1</v>
      </c>
      <c r="D107">
        <v>1</v>
      </c>
      <c r="E107">
        <v>0</v>
      </c>
      <c r="F107">
        <v>0</v>
      </c>
      <c r="G107">
        <v>19.704000000000001</v>
      </c>
    </row>
    <row r="108" spans="1:7">
      <c r="A108" t="s">
        <v>505</v>
      </c>
      <c r="B108" t="s">
        <v>472</v>
      </c>
      <c r="C108">
        <v>4</v>
      </c>
      <c r="D108">
        <v>0</v>
      </c>
      <c r="E108">
        <v>0</v>
      </c>
      <c r="F108">
        <v>0</v>
      </c>
      <c r="G108">
        <v>6.0000000000000001E-3</v>
      </c>
    </row>
    <row r="109" spans="1:7">
      <c r="A109" t="s">
        <v>468</v>
      </c>
      <c r="B109" t="s">
        <v>474</v>
      </c>
      <c r="C109">
        <v>1</v>
      </c>
      <c r="D109">
        <v>1</v>
      </c>
      <c r="E109">
        <v>0</v>
      </c>
      <c r="F109">
        <v>0</v>
      </c>
      <c r="G109">
        <v>4.0000000000000001E-3</v>
      </c>
    </row>
    <row r="110" spans="1:7">
      <c r="A110" t="s">
        <v>506</v>
      </c>
      <c r="B110" t="s">
        <v>472</v>
      </c>
      <c r="C110">
        <v>8</v>
      </c>
      <c r="D110">
        <v>0</v>
      </c>
      <c r="E110">
        <v>0</v>
      </c>
      <c r="F110">
        <v>0</v>
      </c>
      <c r="G110">
        <v>0.10100000000000001</v>
      </c>
    </row>
    <row r="111" spans="1:7">
      <c r="A111" t="s">
        <v>507</v>
      </c>
      <c r="B111" t="s">
        <v>472</v>
      </c>
      <c r="C111">
        <v>1</v>
      </c>
      <c r="D111">
        <v>0</v>
      </c>
      <c r="E111">
        <v>0</v>
      </c>
      <c r="F111">
        <v>0</v>
      </c>
      <c r="G111">
        <v>6.0000000000000001E-3</v>
      </c>
    </row>
    <row r="112" spans="1:7">
      <c r="A112" t="s">
        <v>508</v>
      </c>
      <c r="B112" t="s">
        <v>472</v>
      </c>
      <c r="C112">
        <v>1</v>
      </c>
      <c r="D112">
        <v>0</v>
      </c>
      <c r="E112">
        <v>0</v>
      </c>
      <c r="F112">
        <v>0</v>
      </c>
      <c r="G112">
        <v>2E-3</v>
      </c>
    </row>
    <row r="113" spans="1:7">
      <c r="A113" t="s">
        <v>509</v>
      </c>
      <c r="B113" t="s">
        <v>472</v>
      </c>
      <c r="C113">
        <v>1</v>
      </c>
      <c r="D113">
        <v>0</v>
      </c>
      <c r="E113">
        <v>0</v>
      </c>
      <c r="F113">
        <v>0</v>
      </c>
      <c r="G113">
        <v>3.0000000000000001E-3</v>
      </c>
    </row>
    <row r="114" spans="1:7">
      <c r="A114" t="s">
        <v>510</v>
      </c>
      <c r="B114" t="s">
        <v>472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469</v>
      </c>
      <c r="B115" t="s">
        <v>474</v>
      </c>
      <c r="C115">
        <v>1</v>
      </c>
      <c r="D115">
        <v>1</v>
      </c>
      <c r="E115">
        <v>0</v>
      </c>
      <c r="F115">
        <v>0</v>
      </c>
      <c r="G115">
        <v>6.0000000000000001E-3</v>
      </c>
    </row>
    <row r="116" spans="1:7">
      <c r="A116" t="s">
        <v>511</v>
      </c>
      <c r="B116" t="s">
        <v>472</v>
      </c>
      <c r="C116">
        <v>7</v>
      </c>
      <c r="D116">
        <v>0</v>
      </c>
      <c r="E116">
        <v>0</v>
      </c>
      <c r="F116">
        <v>0</v>
      </c>
      <c r="G116">
        <v>1.4E-2</v>
      </c>
    </row>
    <row r="117" spans="1:7">
      <c r="A117" t="s">
        <v>512</v>
      </c>
      <c r="B117" t="s">
        <v>472</v>
      </c>
      <c r="C117">
        <v>1</v>
      </c>
      <c r="D117">
        <v>0</v>
      </c>
      <c r="E117">
        <v>0</v>
      </c>
      <c r="F117">
        <v>0</v>
      </c>
      <c r="G117">
        <v>5.0000000000000001E-3</v>
      </c>
    </row>
    <row r="118" spans="1:7">
      <c r="A118" t="s">
        <v>513</v>
      </c>
      <c r="B118" t="s">
        <v>472</v>
      </c>
      <c r="C118">
        <v>1</v>
      </c>
      <c r="D118">
        <v>0</v>
      </c>
      <c r="E118">
        <v>0</v>
      </c>
      <c r="F118">
        <v>0</v>
      </c>
      <c r="G118">
        <v>1E-3</v>
      </c>
    </row>
    <row r="119" spans="1:7">
      <c r="A119" t="s">
        <v>514</v>
      </c>
      <c r="B119" t="s">
        <v>472</v>
      </c>
      <c r="C119">
        <v>1</v>
      </c>
      <c r="D119">
        <v>0</v>
      </c>
      <c r="E119">
        <v>0</v>
      </c>
      <c r="F119">
        <v>0</v>
      </c>
      <c r="G119">
        <v>5.0000000000000001E-3</v>
      </c>
    </row>
    <row r="120" spans="1:7">
      <c r="A120" t="s">
        <v>515</v>
      </c>
      <c r="B120" t="s">
        <v>472</v>
      </c>
      <c r="C120">
        <v>1</v>
      </c>
      <c r="D120">
        <v>0</v>
      </c>
      <c r="E120">
        <v>0</v>
      </c>
      <c r="F120">
        <v>0</v>
      </c>
      <c r="G120">
        <v>2E-3</v>
      </c>
    </row>
    <row r="121" spans="1:7">
      <c r="A121" t="s">
        <v>516</v>
      </c>
      <c r="B121" t="s">
        <v>472</v>
      </c>
      <c r="C121">
        <v>1</v>
      </c>
      <c r="D121">
        <v>0</v>
      </c>
      <c r="E121">
        <v>0</v>
      </c>
      <c r="F121">
        <v>0</v>
      </c>
      <c r="G121">
        <v>3.0000000000000001E-3</v>
      </c>
    </row>
    <row r="122" spans="1:7">
      <c r="A122" t="s">
        <v>517</v>
      </c>
      <c r="B122" t="s">
        <v>472</v>
      </c>
      <c r="C122">
        <v>1</v>
      </c>
      <c r="D122">
        <v>0</v>
      </c>
      <c r="E122">
        <v>0</v>
      </c>
      <c r="F122">
        <v>0</v>
      </c>
      <c r="G122">
        <v>2E-3</v>
      </c>
    </row>
    <row r="123" spans="1:7">
      <c r="A123" t="s">
        <v>518</v>
      </c>
      <c r="B123" t="s">
        <v>472</v>
      </c>
      <c r="C123">
        <v>1</v>
      </c>
      <c r="D123">
        <v>0</v>
      </c>
      <c r="E123">
        <v>0</v>
      </c>
      <c r="F123">
        <v>0</v>
      </c>
      <c r="G123">
        <v>4.0000000000000001E-3</v>
      </c>
    </row>
    <row r="124" spans="1:7">
      <c r="A124" t="s">
        <v>519</v>
      </c>
      <c r="B124" t="s">
        <v>472</v>
      </c>
      <c r="C124">
        <v>6</v>
      </c>
      <c r="D124">
        <v>0</v>
      </c>
      <c r="E124">
        <v>0</v>
      </c>
      <c r="F124">
        <v>0</v>
      </c>
      <c r="G124">
        <v>1.4999999999999999E-2</v>
      </c>
    </row>
    <row r="125" spans="1:7">
      <c r="A125" t="s">
        <v>520</v>
      </c>
      <c r="B125" t="s">
        <v>472</v>
      </c>
      <c r="C125">
        <v>1</v>
      </c>
      <c r="D125">
        <v>0</v>
      </c>
      <c r="E125">
        <v>0</v>
      </c>
      <c r="F125">
        <v>0</v>
      </c>
      <c r="G125">
        <v>6.0000000000000001E-3</v>
      </c>
    </row>
    <row r="126" spans="1:7">
      <c r="A126" t="s">
        <v>521</v>
      </c>
      <c r="B126" t="s">
        <v>472</v>
      </c>
      <c r="C126">
        <v>5</v>
      </c>
      <c r="D126">
        <v>0</v>
      </c>
      <c r="E126">
        <v>0</v>
      </c>
      <c r="F126">
        <v>0</v>
      </c>
      <c r="G126">
        <v>6.0000000000000001E-3</v>
      </c>
    </row>
    <row r="127" spans="1:7">
      <c r="A127" t="s">
        <v>522</v>
      </c>
      <c r="B127" t="s">
        <v>472</v>
      </c>
      <c r="C127">
        <v>1</v>
      </c>
      <c r="D127">
        <v>0</v>
      </c>
      <c r="E127">
        <v>0</v>
      </c>
      <c r="F127">
        <v>0</v>
      </c>
      <c r="G127">
        <v>4.0000000000000001E-3</v>
      </c>
    </row>
    <row r="128" spans="1:7">
      <c r="A128" t="s">
        <v>523</v>
      </c>
      <c r="B128" t="s">
        <v>472</v>
      </c>
      <c r="C128">
        <v>5</v>
      </c>
      <c r="D128">
        <v>0</v>
      </c>
      <c r="E128">
        <v>0</v>
      </c>
      <c r="F128">
        <v>0</v>
      </c>
      <c r="G128">
        <v>6.0000000000000001E-3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workbookViewId="0"/>
  </sheetViews>
  <sheetFormatPr defaultColWidth="12.7109375" defaultRowHeight="15.75" customHeight="1"/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1" t="s">
        <v>8</v>
      </c>
      <c r="B2" s="1">
        <v>0</v>
      </c>
      <c r="C2" s="1" t="s">
        <v>9</v>
      </c>
      <c r="D2" s="1" t="s">
        <v>10</v>
      </c>
      <c r="E2" s="1" t="s">
        <v>10</v>
      </c>
      <c r="F2" s="1" t="s">
        <v>11</v>
      </c>
      <c r="G2" s="1">
        <v>0</v>
      </c>
      <c r="H2" s="1" t="s">
        <v>12</v>
      </c>
    </row>
    <row r="3" spans="1:8" ht="15.75" customHeight="1">
      <c r="A3" s="1" t="s">
        <v>8</v>
      </c>
      <c r="B3" s="1">
        <v>1</v>
      </c>
      <c r="C3" s="1" t="s">
        <v>13</v>
      </c>
      <c r="D3" s="1" t="s">
        <v>10</v>
      </c>
      <c r="E3" s="1" t="s">
        <v>10</v>
      </c>
      <c r="F3" s="1" t="s">
        <v>11</v>
      </c>
      <c r="G3" s="1">
        <v>0</v>
      </c>
      <c r="H3" s="1" t="s">
        <v>12</v>
      </c>
    </row>
    <row r="4" spans="1:8" ht="15.75" customHeight="1">
      <c r="A4" s="1" t="s">
        <v>8</v>
      </c>
      <c r="B4" s="1" t="s">
        <v>14</v>
      </c>
      <c r="C4" s="1" t="s">
        <v>15</v>
      </c>
      <c r="D4" s="1" t="s">
        <v>16</v>
      </c>
      <c r="E4" s="1" t="s">
        <v>10</v>
      </c>
      <c r="F4" s="1" t="s">
        <v>17</v>
      </c>
      <c r="G4" s="1">
        <v>0</v>
      </c>
      <c r="H4" s="1" t="s">
        <v>18</v>
      </c>
    </row>
    <row r="5" spans="1:8" ht="15.75" customHeight="1">
      <c r="A5" s="1" t="s">
        <v>8</v>
      </c>
      <c r="B5" s="1" t="s">
        <v>14</v>
      </c>
      <c r="C5" s="1" t="s">
        <v>15</v>
      </c>
      <c r="D5" s="1" t="s">
        <v>19</v>
      </c>
      <c r="E5" s="1" t="s">
        <v>12</v>
      </c>
      <c r="F5" s="1" t="s">
        <v>17</v>
      </c>
      <c r="G5" s="1" t="s">
        <v>20</v>
      </c>
      <c r="H5" s="1" t="s">
        <v>18</v>
      </c>
    </row>
    <row r="6" spans="1:8" ht="15.75" customHeight="1">
      <c r="A6" s="1" t="s">
        <v>8</v>
      </c>
      <c r="B6" s="1" t="s">
        <v>14</v>
      </c>
      <c r="C6" s="1" t="s">
        <v>15</v>
      </c>
      <c r="D6" s="1" t="s">
        <v>19</v>
      </c>
      <c r="E6" s="1" t="s">
        <v>18</v>
      </c>
      <c r="F6" s="1" t="s">
        <v>17</v>
      </c>
      <c r="G6" s="1" t="s">
        <v>20</v>
      </c>
      <c r="H6" s="1" t="s">
        <v>18</v>
      </c>
    </row>
    <row r="7" spans="1:8" ht="15.75" customHeight="1">
      <c r="A7" s="1" t="s">
        <v>8</v>
      </c>
      <c r="B7" s="1" t="s">
        <v>14</v>
      </c>
      <c r="C7" s="1" t="s">
        <v>15</v>
      </c>
      <c r="D7" s="1" t="s">
        <v>19</v>
      </c>
      <c r="E7" s="1" t="s">
        <v>18</v>
      </c>
      <c r="F7" s="1">
        <v>0</v>
      </c>
      <c r="G7" s="1">
        <v>0</v>
      </c>
      <c r="H7" s="1" t="s">
        <v>12</v>
      </c>
    </row>
    <row r="8" spans="1:8" ht="15.75" customHeight="1">
      <c r="A8" s="1" t="s">
        <v>21</v>
      </c>
      <c r="B8" s="1" t="s">
        <v>14</v>
      </c>
      <c r="C8" s="1" t="s">
        <v>22</v>
      </c>
      <c r="D8" s="1" t="s">
        <v>9</v>
      </c>
      <c r="E8" s="1" t="s">
        <v>9</v>
      </c>
      <c r="F8" s="1" t="s">
        <v>11</v>
      </c>
      <c r="G8" s="1" t="s">
        <v>23</v>
      </c>
      <c r="H8" s="1" t="s">
        <v>12</v>
      </c>
    </row>
    <row r="9" spans="1:8" ht="15.75" customHeight="1">
      <c r="A9" s="1" t="s">
        <v>21</v>
      </c>
      <c r="B9" s="1" t="s">
        <v>14</v>
      </c>
      <c r="C9" s="1" t="s">
        <v>15</v>
      </c>
      <c r="D9" s="1" t="s">
        <v>11</v>
      </c>
      <c r="E9" s="1" t="s">
        <v>11</v>
      </c>
      <c r="F9" s="1" t="s">
        <v>24</v>
      </c>
      <c r="G9" s="1" t="s">
        <v>25</v>
      </c>
      <c r="H9" s="1" t="s">
        <v>12</v>
      </c>
    </row>
    <row r="10" spans="1:8" ht="15.75" customHeight="1">
      <c r="A10" s="1" t="s">
        <v>26</v>
      </c>
      <c r="B10" s="1" t="s">
        <v>14</v>
      </c>
      <c r="C10" s="1" t="s">
        <v>15</v>
      </c>
      <c r="D10" s="1" t="s">
        <v>27</v>
      </c>
      <c r="E10" s="1" t="s">
        <v>10</v>
      </c>
      <c r="F10" s="1" t="s">
        <v>17</v>
      </c>
      <c r="G10" s="1">
        <v>0</v>
      </c>
      <c r="H10" s="1" t="s">
        <v>12</v>
      </c>
    </row>
    <row r="11" spans="1:8" ht="15.75" customHeight="1">
      <c r="H11" s="2">
        <f>COUNTIF(H2:H10, "Yes")/COUNTA(H2:H10)</f>
        <v>0.33333333333333331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3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28</v>
      </c>
      <c r="C1" s="1" t="s">
        <v>29</v>
      </c>
      <c r="D1" s="1" t="s">
        <v>30</v>
      </c>
      <c r="E1" s="1" t="s">
        <v>6</v>
      </c>
      <c r="F1" s="1" t="s">
        <v>7</v>
      </c>
    </row>
    <row r="2" spans="1:6" ht="15.75" customHeight="1">
      <c r="A2" s="1" t="s">
        <v>8</v>
      </c>
      <c r="B2" s="1" t="s">
        <v>31</v>
      </c>
      <c r="C2" s="1" t="s">
        <v>10</v>
      </c>
      <c r="D2" s="1" t="s">
        <v>9</v>
      </c>
      <c r="E2" s="1">
        <v>0</v>
      </c>
      <c r="F2" s="1" t="s">
        <v>12</v>
      </c>
    </row>
    <row r="3" spans="1:6" ht="15.75" customHeight="1">
      <c r="A3" s="1" t="s">
        <v>8</v>
      </c>
      <c r="B3" s="1" t="s">
        <v>32</v>
      </c>
      <c r="C3" s="1">
        <v>0</v>
      </c>
      <c r="D3" s="1" t="s">
        <v>9</v>
      </c>
      <c r="E3" s="1">
        <v>0</v>
      </c>
      <c r="F3" s="1" t="s">
        <v>12</v>
      </c>
    </row>
    <row r="4" spans="1:6" ht="15.75" customHeight="1">
      <c r="A4" s="1" t="s">
        <v>8</v>
      </c>
      <c r="B4" s="1" t="s">
        <v>32</v>
      </c>
      <c r="C4" s="1">
        <v>1</v>
      </c>
      <c r="D4" s="1" t="s">
        <v>33</v>
      </c>
      <c r="E4" s="1">
        <v>1</v>
      </c>
      <c r="F4" s="1" t="s">
        <v>12</v>
      </c>
    </row>
    <row r="5" spans="1:6" ht="15.75" customHeight="1">
      <c r="A5" s="1" t="s">
        <v>8</v>
      </c>
      <c r="B5" s="1" t="s">
        <v>32</v>
      </c>
      <c r="C5" s="1">
        <v>1</v>
      </c>
      <c r="D5" s="1" t="s">
        <v>34</v>
      </c>
      <c r="E5" s="1">
        <v>1</v>
      </c>
      <c r="F5" s="1" t="s">
        <v>12</v>
      </c>
    </row>
    <row r="6" spans="1:6" ht="15.75" customHeight="1">
      <c r="A6" s="1" t="s">
        <v>8</v>
      </c>
      <c r="B6" s="1" t="s">
        <v>32</v>
      </c>
      <c r="C6" s="1">
        <v>1</v>
      </c>
      <c r="D6" s="1" t="s">
        <v>35</v>
      </c>
      <c r="E6" s="1">
        <v>1</v>
      </c>
      <c r="F6" s="1" t="s">
        <v>12</v>
      </c>
    </row>
    <row r="7" spans="1:6" ht="15.75" customHeight="1">
      <c r="A7" s="1" t="s">
        <v>8</v>
      </c>
      <c r="B7" s="1" t="s">
        <v>32</v>
      </c>
      <c r="C7" s="1" t="s">
        <v>36</v>
      </c>
      <c r="D7" s="1" t="s">
        <v>35</v>
      </c>
      <c r="E7" s="1" t="s">
        <v>29</v>
      </c>
      <c r="F7" s="1" t="s">
        <v>18</v>
      </c>
    </row>
    <row r="8" spans="1:6" ht="15.75" customHeight="1">
      <c r="A8" s="1" t="s">
        <v>8</v>
      </c>
      <c r="B8" s="1" t="s">
        <v>32</v>
      </c>
      <c r="C8" s="1" t="s">
        <v>37</v>
      </c>
      <c r="D8" s="1" t="s">
        <v>35</v>
      </c>
      <c r="E8" s="1" t="s">
        <v>29</v>
      </c>
      <c r="F8" s="1" t="s">
        <v>18</v>
      </c>
    </row>
    <row r="9" spans="1:6" ht="15.75" customHeight="1">
      <c r="A9" s="1" t="s">
        <v>21</v>
      </c>
      <c r="B9" s="1" t="s">
        <v>38</v>
      </c>
      <c r="C9" s="1" t="s">
        <v>9</v>
      </c>
      <c r="D9" s="1" t="s">
        <v>9</v>
      </c>
      <c r="E9" s="1" t="s">
        <v>23</v>
      </c>
      <c r="F9" s="1" t="s">
        <v>12</v>
      </c>
    </row>
    <row r="10" spans="1:6" ht="15.75" customHeight="1">
      <c r="A10" s="1" t="s">
        <v>21</v>
      </c>
      <c r="B10" s="1" t="s">
        <v>39</v>
      </c>
      <c r="C10" s="1" t="s">
        <v>9</v>
      </c>
      <c r="D10" s="1" t="s">
        <v>9</v>
      </c>
      <c r="E10" s="1" t="s">
        <v>23</v>
      </c>
      <c r="F10" s="1" t="s">
        <v>12</v>
      </c>
    </row>
    <row r="11" spans="1:6" ht="15.75" customHeight="1">
      <c r="A11" s="1" t="s">
        <v>26</v>
      </c>
      <c r="B11" s="1" t="s">
        <v>32</v>
      </c>
      <c r="C11" s="1" t="s">
        <v>40</v>
      </c>
      <c r="D11" s="1" t="s">
        <v>33</v>
      </c>
      <c r="E11" s="1">
        <v>2</v>
      </c>
      <c r="F11" s="1" t="s">
        <v>12</v>
      </c>
    </row>
    <row r="12" spans="1:6" ht="15.75" customHeight="1">
      <c r="A12" s="1" t="s">
        <v>26</v>
      </c>
      <c r="B12" s="1" t="s">
        <v>32</v>
      </c>
      <c r="C12" s="1" t="s">
        <v>41</v>
      </c>
      <c r="D12" s="1" t="s">
        <v>33</v>
      </c>
      <c r="E12" s="1">
        <v>2</v>
      </c>
      <c r="F12" s="1" t="s">
        <v>12</v>
      </c>
    </row>
    <row r="13" spans="1:6" ht="15.75" customHeight="1">
      <c r="F13" s="2">
        <f>COUNTIF(F2:F12,"Yes")/COUNTA(F2:F12)</f>
        <v>0.18181818181818182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42</v>
      </c>
      <c r="E1" s="1" t="s">
        <v>6</v>
      </c>
      <c r="F1" s="1" t="s">
        <v>7</v>
      </c>
    </row>
    <row r="2" spans="1:6" ht="15.75" customHeight="1">
      <c r="A2" s="1" t="s">
        <v>8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18</v>
      </c>
    </row>
    <row r="3" spans="1:6" ht="15.75" customHeight="1">
      <c r="A3" s="1" t="s">
        <v>21</v>
      </c>
      <c r="B3" s="1" t="s">
        <v>43</v>
      </c>
      <c r="C3" s="1" t="s">
        <v>47</v>
      </c>
      <c r="D3" s="1" t="s">
        <v>45</v>
      </c>
      <c r="E3" s="1" t="s">
        <v>23</v>
      </c>
      <c r="F3" s="1" t="s">
        <v>12</v>
      </c>
    </row>
    <row r="4" spans="1:6" ht="15.75" customHeight="1">
      <c r="A4" s="1" t="s">
        <v>21</v>
      </c>
      <c r="B4" s="1" t="s">
        <v>43</v>
      </c>
      <c r="C4" s="1" t="s">
        <v>45</v>
      </c>
      <c r="D4" s="1" t="s">
        <v>47</v>
      </c>
      <c r="E4" s="1" t="s">
        <v>23</v>
      </c>
      <c r="F4" s="1" t="s">
        <v>12</v>
      </c>
    </row>
    <row r="5" spans="1:6" ht="15.75" customHeight="1">
      <c r="A5" s="1" t="s">
        <v>26</v>
      </c>
      <c r="B5" s="1">
        <v>0</v>
      </c>
      <c r="D5" s="1" t="s">
        <v>45</v>
      </c>
      <c r="E5" s="1" t="s">
        <v>48</v>
      </c>
      <c r="F5" s="1" t="s">
        <v>18</v>
      </c>
    </row>
    <row r="6" spans="1:6" ht="15.75" customHeight="1">
      <c r="A6" s="1" t="s">
        <v>26</v>
      </c>
      <c r="B6" s="1">
        <v>1</v>
      </c>
      <c r="C6" s="1" t="s">
        <v>45</v>
      </c>
      <c r="D6" s="1" t="s">
        <v>45</v>
      </c>
      <c r="E6" s="1" t="s">
        <v>49</v>
      </c>
      <c r="F6" s="1" t="s">
        <v>12</v>
      </c>
    </row>
    <row r="7" spans="1:6" ht="15.75" customHeight="1">
      <c r="A7" s="1" t="s">
        <v>26</v>
      </c>
      <c r="B7" s="1">
        <v>2</v>
      </c>
      <c r="C7" s="1" t="s">
        <v>44</v>
      </c>
      <c r="D7" s="1" t="s">
        <v>45</v>
      </c>
      <c r="E7" s="1" t="s">
        <v>46</v>
      </c>
      <c r="F7" s="1" t="s">
        <v>12</v>
      </c>
    </row>
    <row r="8" spans="1:6" ht="15.75" customHeight="1">
      <c r="F8" s="2">
        <f>COUNTIF(F2:F7, "Yes")/COUNTA(F2:F7)</f>
        <v>0.33333333333333331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"/>
  <sheetViews>
    <sheetView workbookViewId="0"/>
  </sheetViews>
  <sheetFormatPr defaultColWidth="12.7109375" defaultRowHeight="15.75" customHeight="1"/>
  <sheetData>
    <row r="1" spans="1:8" ht="15.75" customHeight="1">
      <c r="A1" s="1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6</v>
      </c>
      <c r="G1" s="1" t="s">
        <v>7</v>
      </c>
      <c r="H1" t="s">
        <v>443</v>
      </c>
    </row>
    <row r="2" spans="1:8" ht="15.75" customHeight="1">
      <c r="A2" s="1" t="s">
        <v>8</v>
      </c>
      <c r="B2" s="1" t="s">
        <v>43</v>
      </c>
      <c r="C2" s="1" t="s">
        <v>44</v>
      </c>
      <c r="D2" s="1" t="s">
        <v>53</v>
      </c>
      <c r="E2" s="1" t="s">
        <v>54</v>
      </c>
      <c r="F2" s="1" t="s">
        <v>46</v>
      </c>
      <c r="G2" s="1" t="s">
        <v>18</v>
      </c>
      <c r="H2" t="s">
        <v>18</v>
      </c>
    </row>
    <row r="3" spans="1:8" ht="15.75" customHeight="1">
      <c r="A3" s="1" t="s">
        <v>8</v>
      </c>
      <c r="B3" s="1" t="s">
        <v>43</v>
      </c>
      <c r="C3" s="1" t="s">
        <v>44</v>
      </c>
      <c r="D3" s="1" t="s">
        <v>53</v>
      </c>
      <c r="E3" s="1" t="s">
        <v>55</v>
      </c>
      <c r="F3" s="1" t="s">
        <v>46</v>
      </c>
      <c r="G3" s="1" t="s">
        <v>12</v>
      </c>
      <c r="H3" t="s">
        <v>18</v>
      </c>
    </row>
    <row r="4" spans="1:8" ht="15.75" customHeight="1">
      <c r="A4" s="1" t="s">
        <v>8</v>
      </c>
      <c r="B4" s="1" t="s">
        <v>43</v>
      </c>
      <c r="C4" s="1" t="s">
        <v>44</v>
      </c>
      <c r="D4" s="1" t="s">
        <v>53</v>
      </c>
      <c r="E4" s="1" t="s">
        <v>56</v>
      </c>
      <c r="F4" s="1" t="s">
        <v>46</v>
      </c>
      <c r="G4" s="1" t="s">
        <v>12</v>
      </c>
      <c r="H4" t="s">
        <v>18</v>
      </c>
    </row>
    <row r="5" spans="1:8" ht="15.75" customHeight="1">
      <c r="A5" s="1" t="s">
        <v>8</v>
      </c>
      <c r="B5" s="1" t="s">
        <v>43</v>
      </c>
      <c r="C5" s="1" t="s">
        <v>44</v>
      </c>
      <c r="D5" s="1" t="s">
        <v>57</v>
      </c>
      <c r="E5" s="1" t="s">
        <v>54</v>
      </c>
      <c r="F5" s="1" t="s">
        <v>46</v>
      </c>
      <c r="G5" s="1" t="s">
        <v>12</v>
      </c>
      <c r="H5" t="s">
        <v>18</v>
      </c>
    </row>
    <row r="6" spans="1:8" ht="15.75" customHeight="1">
      <c r="A6" s="1" t="s">
        <v>21</v>
      </c>
      <c r="B6" s="1" t="s">
        <v>43</v>
      </c>
      <c r="C6" s="1" t="s">
        <v>58</v>
      </c>
      <c r="D6" s="1" t="s">
        <v>11</v>
      </c>
      <c r="E6" s="1" t="s">
        <v>11</v>
      </c>
      <c r="F6" s="1" t="s">
        <v>23</v>
      </c>
      <c r="G6" s="1" t="s">
        <v>12</v>
      </c>
      <c r="H6" t="s">
        <v>12</v>
      </c>
    </row>
    <row r="7" spans="1:8" ht="15.75" customHeight="1">
      <c r="A7" s="1" t="s">
        <v>26</v>
      </c>
      <c r="B7" s="1">
        <v>0</v>
      </c>
      <c r="F7" s="1" t="s">
        <v>59</v>
      </c>
      <c r="G7" s="1" t="s">
        <v>18</v>
      </c>
      <c r="H7" t="s">
        <v>18</v>
      </c>
    </row>
    <row r="8" spans="1:8" ht="15.75" customHeight="1">
      <c r="A8" s="1" t="s">
        <v>26</v>
      </c>
      <c r="B8" s="1">
        <v>1</v>
      </c>
      <c r="C8" s="1" t="s">
        <v>45</v>
      </c>
      <c r="D8" s="1" t="s">
        <v>60</v>
      </c>
      <c r="E8" s="1" t="s">
        <v>43</v>
      </c>
      <c r="F8" s="1" t="s">
        <v>61</v>
      </c>
      <c r="G8" s="1" t="s">
        <v>18</v>
      </c>
      <c r="H8" t="s">
        <v>18</v>
      </c>
    </row>
    <row r="9" spans="1:8" ht="15.75" customHeight="1">
      <c r="G9" s="2">
        <f>COUNTIF(G2:G8, "Yes")/COUNTA(G2:G8)</f>
        <v>0.42857142857142855</v>
      </c>
      <c r="H9">
        <f>COUNTIF(H2:H8,"Yes")/COUNTA(H2:H8)</f>
        <v>0.8571428571428571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7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62</v>
      </c>
      <c r="C1" s="1" t="s">
        <v>63</v>
      </c>
      <c r="D1" s="1" t="s">
        <v>64</v>
      </c>
      <c r="E1" s="1" t="s">
        <v>6</v>
      </c>
      <c r="F1" s="1" t="s">
        <v>7</v>
      </c>
    </row>
    <row r="2" spans="1:6" ht="15.75" customHeight="1">
      <c r="A2" s="1" t="s">
        <v>8</v>
      </c>
      <c r="B2" s="1" t="s">
        <v>65</v>
      </c>
      <c r="C2" s="1" t="s">
        <v>65</v>
      </c>
      <c r="D2" s="1" t="s">
        <v>66</v>
      </c>
      <c r="E2" s="1">
        <v>1</v>
      </c>
      <c r="F2" s="1" t="s">
        <v>18</v>
      </c>
    </row>
    <row r="3" spans="1:6" ht="15.75" customHeight="1">
      <c r="A3" s="1" t="s">
        <v>8</v>
      </c>
      <c r="B3" s="1" t="s">
        <v>65</v>
      </c>
      <c r="C3" s="1" t="s">
        <v>65</v>
      </c>
      <c r="D3" s="1" t="s">
        <v>67</v>
      </c>
      <c r="E3" s="1" t="s">
        <v>62</v>
      </c>
      <c r="F3" s="1" t="s">
        <v>12</v>
      </c>
    </row>
    <row r="4" spans="1:6" ht="15.75" customHeight="1">
      <c r="A4" s="1" t="s">
        <v>8</v>
      </c>
      <c r="B4" s="1" t="s">
        <v>65</v>
      </c>
      <c r="C4" s="1" t="s">
        <v>65</v>
      </c>
      <c r="D4" s="1" t="s">
        <v>68</v>
      </c>
      <c r="E4" s="1" t="s">
        <v>63</v>
      </c>
      <c r="F4" s="1" t="s">
        <v>12</v>
      </c>
    </row>
    <row r="5" spans="1:6" ht="15.75" customHeight="1">
      <c r="A5" s="1" t="s">
        <v>8</v>
      </c>
      <c r="B5" s="1" t="s">
        <v>65</v>
      </c>
      <c r="C5" s="1" t="s">
        <v>65</v>
      </c>
      <c r="D5" s="1" t="s">
        <v>69</v>
      </c>
      <c r="E5" s="1" t="s">
        <v>70</v>
      </c>
      <c r="F5" s="1" t="s">
        <v>18</v>
      </c>
    </row>
    <row r="6" spans="1:6" ht="15.75" customHeight="1">
      <c r="A6" s="1" t="s">
        <v>8</v>
      </c>
      <c r="B6" s="1" t="s">
        <v>65</v>
      </c>
      <c r="C6" s="1" t="s">
        <v>71</v>
      </c>
      <c r="D6" s="1" t="s">
        <v>69</v>
      </c>
      <c r="E6" s="1" t="s">
        <v>72</v>
      </c>
      <c r="F6" s="1" t="s">
        <v>12</v>
      </c>
    </row>
    <row r="7" spans="1:6" ht="15.75" customHeight="1">
      <c r="A7" s="1" t="s">
        <v>8</v>
      </c>
      <c r="B7" s="1" t="s">
        <v>71</v>
      </c>
      <c r="C7" s="1" t="s">
        <v>65</v>
      </c>
      <c r="D7" s="1" t="s">
        <v>69</v>
      </c>
      <c r="E7" s="1" t="s">
        <v>73</v>
      </c>
      <c r="F7" s="1" t="s">
        <v>12</v>
      </c>
    </row>
    <row r="8" spans="1:6" ht="15.75" customHeight="1">
      <c r="A8" s="1" t="s">
        <v>8</v>
      </c>
      <c r="B8" s="1" t="s">
        <v>71</v>
      </c>
      <c r="C8" s="1" t="s">
        <v>71</v>
      </c>
      <c r="D8" s="1" t="s">
        <v>69</v>
      </c>
      <c r="E8" s="1" t="s">
        <v>74</v>
      </c>
      <c r="F8" s="1" t="s">
        <v>12</v>
      </c>
    </row>
    <row r="9" spans="1:6" ht="15.75" customHeight="1">
      <c r="A9" s="1" t="s">
        <v>8</v>
      </c>
      <c r="B9" s="1" t="s">
        <v>65</v>
      </c>
      <c r="C9" s="1" t="s">
        <v>65</v>
      </c>
      <c r="D9" s="1" t="s">
        <v>75</v>
      </c>
      <c r="E9" s="1" t="s">
        <v>76</v>
      </c>
      <c r="F9" s="1" t="s">
        <v>12</v>
      </c>
    </row>
    <row r="10" spans="1:6" ht="15.75" customHeight="1">
      <c r="A10" s="1" t="s">
        <v>8</v>
      </c>
      <c r="B10" s="1">
        <v>0</v>
      </c>
      <c r="C10" s="1" t="s">
        <v>65</v>
      </c>
      <c r="D10" s="1" t="s">
        <v>9</v>
      </c>
      <c r="E10" s="1" t="s">
        <v>77</v>
      </c>
      <c r="F10" s="1" t="s">
        <v>12</v>
      </c>
    </row>
    <row r="11" spans="1:6" ht="15.75" customHeight="1">
      <c r="A11" s="1" t="s">
        <v>8</v>
      </c>
      <c r="B11" s="1" t="s">
        <v>65</v>
      </c>
      <c r="C11" s="1">
        <v>0</v>
      </c>
      <c r="D11" s="1" t="s">
        <v>9</v>
      </c>
      <c r="E11" s="1" t="s">
        <v>78</v>
      </c>
      <c r="F11" s="1" t="s">
        <v>12</v>
      </c>
    </row>
    <row r="12" spans="1:6" ht="15.75" customHeight="1">
      <c r="A12" s="1" t="s">
        <v>21</v>
      </c>
      <c r="B12" s="1">
        <v>0</v>
      </c>
      <c r="C12" s="1">
        <v>0</v>
      </c>
      <c r="D12" s="1" t="s">
        <v>9</v>
      </c>
      <c r="E12" s="1" t="s">
        <v>23</v>
      </c>
      <c r="F12" s="1" t="s">
        <v>12</v>
      </c>
    </row>
    <row r="13" spans="1:6" ht="15.75" customHeight="1">
      <c r="A13" s="1" t="s">
        <v>21</v>
      </c>
      <c r="B13" s="1" t="s">
        <v>47</v>
      </c>
      <c r="C13" s="1" t="s">
        <v>65</v>
      </c>
      <c r="D13" s="1" t="s">
        <v>9</v>
      </c>
      <c r="E13" s="1" t="s">
        <v>23</v>
      </c>
      <c r="F13" s="1" t="s">
        <v>12</v>
      </c>
    </row>
    <row r="14" spans="1:6" ht="15.75" customHeight="1">
      <c r="A14" s="1" t="s">
        <v>21</v>
      </c>
      <c r="B14" s="1" t="s">
        <v>65</v>
      </c>
      <c r="C14" s="1" t="s">
        <v>47</v>
      </c>
      <c r="D14" s="1" t="s">
        <v>9</v>
      </c>
      <c r="E14" s="1" t="s">
        <v>23</v>
      </c>
      <c r="F14" s="1" t="s">
        <v>12</v>
      </c>
    </row>
    <row r="15" spans="1:6" ht="15.75" customHeight="1">
      <c r="A15" s="1" t="s">
        <v>26</v>
      </c>
      <c r="B15" s="1" t="s">
        <v>65</v>
      </c>
      <c r="C15" s="1" t="s">
        <v>79</v>
      </c>
      <c r="D15" s="1" t="s">
        <v>69</v>
      </c>
      <c r="E15" s="1" t="s">
        <v>70</v>
      </c>
      <c r="F15" s="1" t="s">
        <v>12</v>
      </c>
    </row>
    <row r="16" spans="1:6" ht="15.75" customHeight="1">
      <c r="A16" s="1" t="s">
        <v>26</v>
      </c>
      <c r="B16" s="1" t="s">
        <v>65</v>
      </c>
      <c r="C16" s="1" t="s">
        <v>80</v>
      </c>
      <c r="D16" s="1" t="s">
        <v>69</v>
      </c>
      <c r="E16" s="1" t="s">
        <v>70</v>
      </c>
      <c r="F16" s="1" t="s">
        <v>12</v>
      </c>
    </row>
    <row r="17" spans="6:6" ht="15.75" customHeight="1">
      <c r="F17" s="2">
        <f>COUNTIF(F2:F16,"Yes")/COUNTA(F2:F16)</f>
        <v>0.13333333333333333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7"/>
  <sheetViews>
    <sheetView workbookViewId="0"/>
  </sheetViews>
  <sheetFormatPr defaultColWidth="12.7109375" defaultRowHeight="15.75" customHeight="1"/>
  <sheetData>
    <row r="1" spans="1:5" ht="15.75" customHeight="1">
      <c r="A1" s="1" t="s">
        <v>0</v>
      </c>
      <c r="B1" s="1" t="s">
        <v>28</v>
      </c>
      <c r="C1" s="1" t="s">
        <v>81</v>
      </c>
      <c r="D1" s="1" t="s">
        <v>6</v>
      </c>
      <c r="E1" s="1" t="s">
        <v>82</v>
      </c>
    </row>
    <row r="2" spans="1:5" ht="15.75" customHeight="1">
      <c r="A2" s="1" t="s">
        <v>8</v>
      </c>
      <c r="B2" s="1" t="s">
        <v>83</v>
      </c>
      <c r="D2" s="1">
        <v>0</v>
      </c>
      <c r="E2" s="1" t="s">
        <v>18</v>
      </c>
    </row>
    <row r="3" spans="1:5" ht="15.75" customHeight="1">
      <c r="A3" s="1" t="s">
        <v>8</v>
      </c>
      <c r="B3" s="1" t="s">
        <v>84</v>
      </c>
      <c r="C3" s="1" t="s">
        <v>85</v>
      </c>
      <c r="D3" s="1" t="s">
        <v>46</v>
      </c>
      <c r="E3" s="1" t="s">
        <v>18</v>
      </c>
    </row>
    <row r="4" spans="1:5" ht="15.75" customHeight="1">
      <c r="A4" s="1" t="s">
        <v>8</v>
      </c>
      <c r="B4" s="1" t="s">
        <v>84</v>
      </c>
      <c r="C4" s="1" t="s">
        <v>86</v>
      </c>
      <c r="D4" s="1" t="s">
        <v>46</v>
      </c>
      <c r="E4" s="1" t="s">
        <v>18</v>
      </c>
    </row>
    <row r="5" spans="1:5" ht="15.75" customHeight="1">
      <c r="A5" s="1" t="s">
        <v>21</v>
      </c>
      <c r="B5" s="1" t="s">
        <v>84</v>
      </c>
      <c r="C5" s="1" t="s">
        <v>87</v>
      </c>
      <c r="D5" s="1" t="s">
        <v>23</v>
      </c>
      <c r="E5" s="1" t="s">
        <v>12</v>
      </c>
    </row>
    <row r="6" spans="1:5" ht="15.75" customHeight="1">
      <c r="A6" s="1" t="s">
        <v>21</v>
      </c>
      <c r="B6" s="1" t="s">
        <v>88</v>
      </c>
      <c r="D6" s="1" t="s">
        <v>23</v>
      </c>
      <c r="E6" s="1" t="s">
        <v>12</v>
      </c>
    </row>
    <row r="7" spans="1:5" ht="15.75" customHeight="1">
      <c r="E7" s="2">
        <f>COUNTIF(E2:E6, "Yes")/COUNTA(E2:E6)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4"/>
  <sheetViews>
    <sheetView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28</v>
      </c>
      <c r="C1" s="1" t="s">
        <v>89</v>
      </c>
      <c r="D1" s="1" t="s">
        <v>90</v>
      </c>
      <c r="E1" s="1" t="s">
        <v>91</v>
      </c>
      <c r="F1" s="1" t="s">
        <v>6</v>
      </c>
      <c r="G1" s="1" t="s">
        <v>7</v>
      </c>
    </row>
    <row r="2" spans="1:7" ht="15.75" customHeight="1">
      <c r="A2" s="1" t="s">
        <v>8</v>
      </c>
      <c r="B2" s="1" t="s">
        <v>31</v>
      </c>
      <c r="C2" s="1" t="s">
        <v>32</v>
      </c>
      <c r="D2" s="1" t="s">
        <v>11</v>
      </c>
      <c r="E2" s="1" t="s">
        <v>10</v>
      </c>
      <c r="F2" s="1">
        <v>0</v>
      </c>
      <c r="G2" s="1" t="s">
        <v>18</v>
      </c>
    </row>
    <row r="3" spans="1:7" ht="15.75" customHeight="1">
      <c r="A3" s="1" t="s">
        <v>8</v>
      </c>
      <c r="B3" s="1" t="s">
        <v>32</v>
      </c>
      <c r="C3" s="1" t="s">
        <v>31</v>
      </c>
      <c r="D3" s="1" t="s">
        <v>10</v>
      </c>
      <c r="E3" s="1" t="s">
        <v>92</v>
      </c>
      <c r="F3" s="1" t="s">
        <v>93</v>
      </c>
      <c r="G3" s="1" t="s">
        <v>12</v>
      </c>
    </row>
    <row r="4" spans="1:7" ht="15.75" customHeight="1">
      <c r="A4" s="1" t="s">
        <v>8</v>
      </c>
      <c r="B4" s="1" t="s">
        <v>31</v>
      </c>
      <c r="C4" s="1" t="s">
        <v>31</v>
      </c>
      <c r="D4" s="1" t="s">
        <v>10</v>
      </c>
      <c r="E4" s="1" t="s">
        <v>92</v>
      </c>
      <c r="F4" s="1" t="s">
        <v>93</v>
      </c>
      <c r="G4" s="1" t="s">
        <v>12</v>
      </c>
    </row>
    <row r="5" spans="1:7" ht="15.75" customHeight="1">
      <c r="A5" s="1" t="s">
        <v>8</v>
      </c>
      <c r="B5" s="1" t="s">
        <v>32</v>
      </c>
      <c r="C5" s="1" t="s">
        <v>32</v>
      </c>
      <c r="D5" s="1" t="s">
        <v>94</v>
      </c>
      <c r="E5" s="1" t="s">
        <v>10</v>
      </c>
      <c r="F5" s="1">
        <v>0</v>
      </c>
      <c r="G5" s="1" t="s">
        <v>12</v>
      </c>
    </row>
    <row r="6" spans="1:7" ht="15.75" customHeight="1">
      <c r="A6" s="1" t="s">
        <v>8</v>
      </c>
      <c r="B6" s="1" t="s">
        <v>32</v>
      </c>
      <c r="C6" s="1" t="s">
        <v>32</v>
      </c>
      <c r="D6" s="1" t="s">
        <v>95</v>
      </c>
      <c r="E6" s="1">
        <v>0</v>
      </c>
      <c r="F6" s="1">
        <v>0</v>
      </c>
      <c r="G6" s="1" t="s">
        <v>12</v>
      </c>
    </row>
    <row r="7" spans="1:7" ht="15.75" customHeight="1">
      <c r="A7" s="1" t="s">
        <v>8</v>
      </c>
      <c r="B7" s="1" t="s">
        <v>32</v>
      </c>
      <c r="C7" s="1" t="s">
        <v>32</v>
      </c>
      <c r="D7" s="1" t="s">
        <v>95</v>
      </c>
      <c r="E7" s="1">
        <v>1</v>
      </c>
      <c r="F7" s="1">
        <v>1</v>
      </c>
      <c r="G7" s="1" t="s">
        <v>12</v>
      </c>
    </row>
    <row r="8" spans="1:7" ht="15.75" customHeight="1">
      <c r="A8" s="1" t="s">
        <v>8</v>
      </c>
      <c r="B8" s="1" t="s">
        <v>32</v>
      </c>
      <c r="C8" s="1" t="s">
        <v>32</v>
      </c>
      <c r="D8" s="1" t="s">
        <v>95</v>
      </c>
      <c r="E8" s="1" t="s">
        <v>96</v>
      </c>
      <c r="F8" s="1" t="s">
        <v>97</v>
      </c>
      <c r="G8" s="1" t="s">
        <v>18</v>
      </c>
    </row>
    <row r="9" spans="1:7" ht="15.75" customHeight="1">
      <c r="A9" s="1" t="s">
        <v>8</v>
      </c>
      <c r="B9" s="1" t="s">
        <v>32</v>
      </c>
      <c r="C9" s="1" t="s">
        <v>32</v>
      </c>
      <c r="D9" s="1" t="s">
        <v>95</v>
      </c>
      <c r="E9" s="1" t="s">
        <v>98</v>
      </c>
      <c r="F9" s="1" t="s">
        <v>97</v>
      </c>
      <c r="G9" s="1" t="s">
        <v>18</v>
      </c>
    </row>
    <row r="10" spans="1:7" ht="15.75" customHeight="1">
      <c r="A10" s="1" t="s">
        <v>21</v>
      </c>
      <c r="B10" s="1" t="s">
        <v>38</v>
      </c>
      <c r="C10" s="1" t="s">
        <v>32</v>
      </c>
      <c r="D10" s="1" t="s">
        <v>11</v>
      </c>
      <c r="E10" s="1" t="s">
        <v>9</v>
      </c>
      <c r="F10" s="1" t="s">
        <v>23</v>
      </c>
      <c r="G10" s="1" t="s">
        <v>12</v>
      </c>
    </row>
    <row r="11" spans="1:7" ht="15.75" customHeight="1">
      <c r="A11" s="1" t="s">
        <v>21</v>
      </c>
      <c r="B11" s="1" t="s">
        <v>32</v>
      </c>
      <c r="C11" s="1" t="s">
        <v>38</v>
      </c>
      <c r="D11" s="1" t="s">
        <v>9</v>
      </c>
      <c r="E11" s="1" t="s">
        <v>9</v>
      </c>
      <c r="F11" s="1" t="s">
        <v>23</v>
      </c>
      <c r="G11" s="1" t="s">
        <v>12</v>
      </c>
    </row>
    <row r="12" spans="1:7" ht="15.75" customHeight="1">
      <c r="A12" s="1" t="s">
        <v>26</v>
      </c>
      <c r="B12" s="1" t="s">
        <v>32</v>
      </c>
      <c r="C12" s="1" t="s">
        <v>32</v>
      </c>
      <c r="D12" s="1">
        <v>1</v>
      </c>
      <c r="E12" s="1" t="s">
        <v>96</v>
      </c>
      <c r="F12" s="1" t="s">
        <v>97</v>
      </c>
      <c r="G12" s="1" t="s">
        <v>18</v>
      </c>
    </row>
    <row r="13" spans="1:7" ht="15.75" customHeight="1">
      <c r="A13" s="1" t="s">
        <v>26</v>
      </c>
      <c r="B13" s="1" t="s">
        <v>32</v>
      </c>
      <c r="C13" s="1" t="s">
        <v>32</v>
      </c>
      <c r="D13" s="1" t="s">
        <v>99</v>
      </c>
      <c r="E13" s="1" t="s">
        <v>100</v>
      </c>
      <c r="F13" s="1">
        <v>1</v>
      </c>
      <c r="G13" s="1" t="s">
        <v>12</v>
      </c>
    </row>
    <row r="14" spans="1:7" ht="15.75" customHeight="1">
      <c r="G14" s="2">
        <f>COUNTIF(G2:G13, "Yes")/COUNTA(G2:G13)</f>
        <v>0.33333333333333331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7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1</v>
      </c>
      <c r="C1" s="1" t="s">
        <v>4</v>
      </c>
      <c r="D1" s="1" t="s">
        <v>101</v>
      </c>
      <c r="E1" s="1" t="s">
        <v>6</v>
      </c>
      <c r="F1" s="1" t="s">
        <v>7</v>
      </c>
    </row>
    <row r="2" spans="1:6" ht="15.75" customHeight="1">
      <c r="A2" s="1" t="s">
        <v>8</v>
      </c>
      <c r="B2" s="1" t="s">
        <v>14</v>
      </c>
      <c r="C2" s="1" t="s">
        <v>12</v>
      </c>
      <c r="D2" s="1" t="s">
        <v>102</v>
      </c>
      <c r="E2" s="1" t="s">
        <v>103</v>
      </c>
      <c r="F2" s="1" t="s">
        <v>18</v>
      </c>
    </row>
    <row r="3" spans="1:6" ht="15.75" customHeight="1">
      <c r="A3" s="1" t="s">
        <v>8</v>
      </c>
      <c r="B3" s="1" t="s">
        <v>14</v>
      </c>
      <c r="C3" s="1" t="s">
        <v>102</v>
      </c>
      <c r="D3" s="1" t="s">
        <v>104</v>
      </c>
      <c r="E3" s="1" t="s">
        <v>105</v>
      </c>
      <c r="F3" s="1" t="s">
        <v>18</v>
      </c>
    </row>
    <row r="4" spans="1:6" ht="15.75" customHeight="1">
      <c r="A4" s="1" t="s">
        <v>8</v>
      </c>
      <c r="B4" s="1" t="s">
        <v>14</v>
      </c>
      <c r="C4" s="1" t="s">
        <v>11</v>
      </c>
      <c r="D4" s="1" t="s">
        <v>106</v>
      </c>
      <c r="E4" s="1" t="s">
        <v>107</v>
      </c>
      <c r="F4" s="1" t="s">
        <v>12</v>
      </c>
    </row>
    <row r="5" spans="1:6" ht="15.75" customHeight="1">
      <c r="A5" s="1" t="s">
        <v>21</v>
      </c>
      <c r="B5" s="1" t="s">
        <v>108</v>
      </c>
      <c r="C5" s="1" t="s">
        <v>109</v>
      </c>
      <c r="D5" s="1" t="s">
        <v>109</v>
      </c>
      <c r="E5" s="1" t="s">
        <v>23</v>
      </c>
      <c r="F5" s="1" t="s">
        <v>12</v>
      </c>
    </row>
    <row r="6" spans="1:6" ht="15.75" customHeight="1">
      <c r="A6" s="1" t="s">
        <v>26</v>
      </c>
      <c r="B6" s="1">
        <v>2</v>
      </c>
      <c r="C6" s="1" t="s">
        <v>11</v>
      </c>
      <c r="D6" s="1" t="s">
        <v>104</v>
      </c>
      <c r="E6" s="1" t="s">
        <v>110</v>
      </c>
      <c r="F6" s="1" t="s">
        <v>12</v>
      </c>
    </row>
    <row r="7" spans="1:6" ht="15.75" customHeight="1">
      <c r="F7" s="2">
        <f>COUNTIF(F2:F6, "Yes")/COUNTA(F2:F6)</f>
        <v>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8"/>
  <sheetViews>
    <sheetView workbookViewId="0"/>
  </sheetViews>
  <sheetFormatPr defaultColWidth="12.7109375" defaultRowHeight="15.75" customHeight="1"/>
  <sheetData>
    <row r="1" spans="1:5" ht="15.75" customHeight="1">
      <c r="A1" s="1" t="s">
        <v>0</v>
      </c>
      <c r="B1" s="1" t="s">
        <v>111</v>
      </c>
      <c r="C1" s="1" t="s">
        <v>112</v>
      </c>
      <c r="D1" s="1" t="s">
        <v>6</v>
      </c>
      <c r="E1" s="1" t="s">
        <v>7</v>
      </c>
    </row>
    <row r="2" spans="1:5" ht="15.75" customHeight="1">
      <c r="A2" s="1" t="s">
        <v>8</v>
      </c>
      <c r="B2" s="1" t="s">
        <v>45</v>
      </c>
      <c r="C2" s="1" t="s">
        <v>113</v>
      </c>
      <c r="D2" s="1" t="s">
        <v>46</v>
      </c>
      <c r="E2" s="1" t="s">
        <v>18</v>
      </c>
    </row>
    <row r="3" spans="1:5" ht="15.75" customHeight="1">
      <c r="A3" s="1" t="s">
        <v>8</v>
      </c>
      <c r="B3" s="1" t="s">
        <v>45</v>
      </c>
      <c r="C3" s="1" t="s">
        <v>114</v>
      </c>
      <c r="D3" s="1" t="s">
        <v>46</v>
      </c>
      <c r="E3" s="1" t="s">
        <v>18</v>
      </c>
    </row>
    <row r="4" spans="1:5" ht="15.75" customHeight="1">
      <c r="A4" s="1" t="s">
        <v>8</v>
      </c>
      <c r="B4" s="1" t="s">
        <v>45</v>
      </c>
      <c r="C4" s="1" t="s">
        <v>115</v>
      </c>
      <c r="D4" s="1" t="s">
        <v>116</v>
      </c>
      <c r="E4" s="1" t="s">
        <v>12</v>
      </c>
    </row>
    <row r="5" spans="1:5" ht="15.75" customHeight="1">
      <c r="A5" s="1" t="s">
        <v>21</v>
      </c>
      <c r="B5" s="1" t="s">
        <v>47</v>
      </c>
      <c r="D5" s="1" t="s">
        <v>23</v>
      </c>
      <c r="E5" s="1" t="s">
        <v>12</v>
      </c>
    </row>
    <row r="6" spans="1:5" ht="15.75" customHeight="1">
      <c r="A6" s="1" t="s">
        <v>26</v>
      </c>
      <c r="B6" s="1" t="s">
        <v>45</v>
      </c>
      <c r="C6" s="1">
        <v>1</v>
      </c>
      <c r="D6" s="1" t="s">
        <v>48</v>
      </c>
      <c r="E6" s="1" t="s">
        <v>12</v>
      </c>
    </row>
    <row r="7" spans="1:5" ht="15.75" customHeight="1">
      <c r="A7" s="1" t="s">
        <v>26</v>
      </c>
      <c r="B7" s="1" t="s">
        <v>45</v>
      </c>
      <c r="C7" s="1">
        <v>2</v>
      </c>
      <c r="D7" s="1" t="s">
        <v>117</v>
      </c>
      <c r="E7" s="1" t="s">
        <v>18</v>
      </c>
    </row>
    <row r="8" spans="1:5" ht="15.75" customHeight="1">
      <c r="E8" s="2">
        <f>COUNTIF(E2:E7, "Yes")/COUNTA(E2:E7)</f>
        <v>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1"/>
  <sheetViews>
    <sheetView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  <c r="F1" s="1" t="s">
        <v>6</v>
      </c>
      <c r="G1" s="1" t="s">
        <v>7</v>
      </c>
    </row>
    <row r="2" spans="1:7" ht="15.75" customHeight="1">
      <c r="A2" s="1" t="s">
        <v>8</v>
      </c>
      <c r="B2" s="1" t="s">
        <v>31</v>
      </c>
      <c r="C2" s="1" t="s">
        <v>32</v>
      </c>
      <c r="D2" s="1" t="s">
        <v>109</v>
      </c>
      <c r="E2" s="1" t="s">
        <v>11</v>
      </c>
      <c r="F2" s="1" t="s">
        <v>48</v>
      </c>
      <c r="G2" s="1" t="s">
        <v>18</v>
      </c>
    </row>
    <row r="3" spans="1:7" ht="15.75" customHeight="1">
      <c r="A3" s="1" t="s">
        <v>8</v>
      </c>
      <c r="B3" s="1" t="s">
        <v>32</v>
      </c>
      <c r="C3" s="1" t="s">
        <v>121</v>
      </c>
      <c r="D3" s="1" t="s">
        <v>122</v>
      </c>
      <c r="E3" s="1" t="s">
        <v>11</v>
      </c>
      <c r="F3" s="1" t="s">
        <v>123</v>
      </c>
      <c r="G3" s="1" t="s">
        <v>12</v>
      </c>
    </row>
    <row r="4" spans="1:7" ht="15.75" customHeight="1">
      <c r="A4" s="1" t="s">
        <v>8</v>
      </c>
      <c r="B4" s="1" t="s">
        <v>32</v>
      </c>
      <c r="C4" s="1" t="s">
        <v>32</v>
      </c>
      <c r="D4" s="1" t="s">
        <v>124</v>
      </c>
      <c r="E4" s="1" t="s">
        <v>125</v>
      </c>
      <c r="F4" s="1" t="s">
        <v>48</v>
      </c>
      <c r="G4" s="1" t="s">
        <v>12</v>
      </c>
    </row>
    <row r="5" spans="1:7" ht="15.75" customHeight="1">
      <c r="A5" s="1" t="s">
        <v>8</v>
      </c>
      <c r="B5" s="1" t="s">
        <v>32</v>
      </c>
      <c r="C5" s="1" t="s">
        <v>32</v>
      </c>
      <c r="D5" s="1" t="s">
        <v>126</v>
      </c>
      <c r="E5" s="1" t="s">
        <v>125</v>
      </c>
      <c r="F5" s="1" t="s">
        <v>127</v>
      </c>
      <c r="G5" s="1" t="s">
        <v>18</v>
      </c>
    </row>
    <row r="6" spans="1:7" ht="15.75" customHeight="1">
      <c r="A6" s="1" t="s">
        <v>8</v>
      </c>
      <c r="B6" s="1" t="s">
        <v>32</v>
      </c>
      <c r="C6" s="1" t="s">
        <v>128</v>
      </c>
      <c r="D6" s="1" t="s">
        <v>109</v>
      </c>
      <c r="E6" s="1" t="s">
        <v>125</v>
      </c>
      <c r="F6" s="1" t="s">
        <v>48</v>
      </c>
      <c r="G6" s="1" t="s">
        <v>12</v>
      </c>
    </row>
    <row r="7" spans="1:7" ht="15.75" customHeight="1">
      <c r="A7" s="1" t="s">
        <v>8</v>
      </c>
      <c r="B7" s="1" t="s">
        <v>32</v>
      </c>
      <c r="C7" s="1" t="s">
        <v>32</v>
      </c>
      <c r="D7" s="1" t="s">
        <v>126</v>
      </c>
      <c r="E7" s="1" t="s">
        <v>129</v>
      </c>
      <c r="F7" s="1" t="s">
        <v>130</v>
      </c>
      <c r="G7" s="1" t="s">
        <v>12</v>
      </c>
    </row>
    <row r="8" spans="1:7" ht="15.75" customHeight="1">
      <c r="A8" s="1" t="s">
        <v>21</v>
      </c>
      <c r="B8" s="1" t="s">
        <v>131</v>
      </c>
      <c r="C8" s="1" t="s">
        <v>28</v>
      </c>
      <c r="D8" s="1" t="s">
        <v>9</v>
      </c>
      <c r="E8" s="1" t="s">
        <v>9</v>
      </c>
      <c r="F8" s="1" t="s">
        <v>23</v>
      </c>
      <c r="G8" s="1" t="s">
        <v>12</v>
      </c>
    </row>
    <row r="9" spans="1:7" ht="15.75" customHeight="1">
      <c r="A9" s="1" t="s">
        <v>21</v>
      </c>
      <c r="B9" s="1" t="s">
        <v>132</v>
      </c>
      <c r="C9" s="1" t="s">
        <v>38</v>
      </c>
      <c r="D9" s="1" t="s">
        <v>9</v>
      </c>
      <c r="E9" s="1" t="s">
        <v>9</v>
      </c>
      <c r="F9" s="1" t="s">
        <v>23</v>
      </c>
      <c r="G9" s="1" t="s">
        <v>12</v>
      </c>
    </row>
    <row r="10" spans="1:7" ht="15.75" customHeight="1">
      <c r="A10" s="1" t="s">
        <v>26</v>
      </c>
      <c r="B10" s="3" t="s">
        <v>32</v>
      </c>
      <c r="C10" s="3" t="s">
        <v>133</v>
      </c>
      <c r="D10" s="3" t="s">
        <v>134</v>
      </c>
      <c r="E10" s="3" t="s">
        <v>125</v>
      </c>
      <c r="F10" s="3" t="s">
        <v>135</v>
      </c>
      <c r="G10" s="1" t="s">
        <v>18</v>
      </c>
    </row>
    <row r="11" spans="1:7" ht="15.75" customHeight="1">
      <c r="G11" s="2">
        <f>COUNTIF(G2:G10, "Yes")/COUNTA(G2:G10)</f>
        <v>0.33333333333333331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2"/>
  <sheetViews>
    <sheetView workbookViewId="0"/>
  </sheetViews>
  <sheetFormatPr defaultColWidth="12.7109375" defaultRowHeight="15.75" customHeight="1"/>
  <sheetData>
    <row r="1" spans="1:8" ht="15.75" customHeight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6</v>
      </c>
      <c r="H1" s="1" t="s">
        <v>7</v>
      </c>
    </row>
    <row r="2" spans="1:8" ht="15.75" customHeight="1">
      <c r="A2" s="1" t="s">
        <v>8</v>
      </c>
      <c r="B2" s="1">
        <v>1</v>
      </c>
      <c r="C2" s="1" t="s">
        <v>141</v>
      </c>
      <c r="D2" s="1" t="s">
        <v>142</v>
      </c>
      <c r="E2" s="1" t="s">
        <v>43</v>
      </c>
      <c r="F2" s="1" t="s">
        <v>9</v>
      </c>
      <c r="G2" s="1" t="s">
        <v>143</v>
      </c>
      <c r="H2" s="1" t="s">
        <v>18</v>
      </c>
    </row>
    <row r="3" spans="1:8" ht="15.75" customHeight="1">
      <c r="A3" s="1" t="s">
        <v>8</v>
      </c>
      <c r="B3" s="1" t="s">
        <v>144</v>
      </c>
      <c r="C3" s="1">
        <v>1</v>
      </c>
      <c r="D3" s="1" t="s">
        <v>142</v>
      </c>
      <c r="E3" s="1" t="s">
        <v>43</v>
      </c>
      <c r="F3" s="1" t="s">
        <v>12</v>
      </c>
      <c r="G3" s="1" t="s">
        <v>143</v>
      </c>
      <c r="H3" s="1" t="s">
        <v>12</v>
      </c>
    </row>
    <row r="4" spans="1:8" ht="15.75" customHeight="1">
      <c r="A4" s="1" t="s">
        <v>8</v>
      </c>
      <c r="B4" s="1" t="s">
        <v>144</v>
      </c>
      <c r="C4" s="1" t="s">
        <v>14</v>
      </c>
      <c r="D4" s="1" t="s">
        <v>12</v>
      </c>
      <c r="E4" s="1" t="s">
        <v>43</v>
      </c>
      <c r="F4" s="1" t="s">
        <v>12</v>
      </c>
      <c r="G4" s="1" t="s">
        <v>145</v>
      </c>
      <c r="H4" s="1" t="s">
        <v>18</v>
      </c>
    </row>
    <row r="5" spans="1:8" ht="15.75" customHeight="1">
      <c r="A5" s="1" t="s">
        <v>8</v>
      </c>
      <c r="B5" s="1" t="s">
        <v>144</v>
      </c>
      <c r="C5" s="1" t="s">
        <v>14</v>
      </c>
      <c r="D5" s="1" t="s">
        <v>18</v>
      </c>
      <c r="E5" s="1" t="s">
        <v>43</v>
      </c>
      <c r="F5" s="1" t="s">
        <v>12</v>
      </c>
      <c r="G5" s="1" t="s">
        <v>145</v>
      </c>
      <c r="H5" s="1" t="s">
        <v>12</v>
      </c>
    </row>
    <row r="6" spans="1:8" ht="15.75" customHeight="1">
      <c r="A6" s="1" t="s">
        <v>8</v>
      </c>
      <c r="B6" s="1" t="s">
        <v>144</v>
      </c>
      <c r="C6" s="1" t="s">
        <v>14</v>
      </c>
      <c r="D6" s="1" t="s">
        <v>12</v>
      </c>
      <c r="E6" s="1" t="s">
        <v>146</v>
      </c>
      <c r="F6" s="1" t="s">
        <v>12</v>
      </c>
      <c r="G6" s="1" t="s">
        <v>145</v>
      </c>
      <c r="H6" s="1" t="s">
        <v>12</v>
      </c>
    </row>
    <row r="7" spans="1:8" ht="15.75" customHeight="1">
      <c r="A7" s="1" t="s">
        <v>8</v>
      </c>
      <c r="B7" s="1" t="s">
        <v>144</v>
      </c>
      <c r="C7" s="1" t="s">
        <v>14</v>
      </c>
      <c r="D7" s="1" t="s">
        <v>12</v>
      </c>
      <c r="E7" s="1" t="s">
        <v>147</v>
      </c>
      <c r="F7" s="1" t="s">
        <v>12</v>
      </c>
      <c r="G7" s="1" t="s">
        <v>145</v>
      </c>
      <c r="H7" s="1" t="s">
        <v>12</v>
      </c>
    </row>
    <row r="8" spans="1:8" ht="15.75" customHeight="1">
      <c r="A8" s="1" t="s">
        <v>8</v>
      </c>
      <c r="B8" s="1" t="s">
        <v>144</v>
      </c>
      <c r="C8" s="1" t="s">
        <v>14</v>
      </c>
      <c r="D8" s="1" t="s">
        <v>12</v>
      </c>
      <c r="E8" s="1" t="s">
        <v>43</v>
      </c>
      <c r="F8" s="1" t="s">
        <v>18</v>
      </c>
      <c r="G8" s="1" t="s">
        <v>145</v>
      </c>
      <c r="H8" s="1" t="s">
        <v>12</v>
      </c>
    </row>
    <row r="9" spans="1:8" ht="15.75" customHeight="1">
      <c r="A9" s="1" t="s">
        <v>21</v>
      </c>
      <c r="B9" s="1" t="s">
        <v>148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23</v>
      </c>
      <c r="H9" s="1" t="s">
        <v>12</v>
      </c>
    </row>
    <row r="10" spans="1:8" ht="15.75" customHeight="1">
      <c r="A10" s="1" t="s">
        <v>21</v>
      </c>
      <c r="B10" s="1" t="s">
        <v>144</v>
      </c>
      <c r="C10" s="1" t="s">
        <v>149</v>
      </c>
      <c r="D10" s="1" t="s">
        <v>9</v>
      </c>
      <c r="E10" s="1" t="s">
        <v>150</v>
      </c>
      <c r="F10" s="1" t="s">
        <v>9</v>
      </c>
      <c r="G10" s="1" t="s">
        <v>23</v>
      </c>
      <c r="H10" s="1" t="s">
        <v>12</v>
      </c>
    </row>
    <row r="11" spans="1:8" ht="15.75" customHeight="1">
      <c r="A11" s="1" t="s">
        <v>26</v>
      </c>
      <c r="B11" s="1" t="s">
        <v>144</v>
      </c>
      <c r="C11" s="1" t="s">
        <v>151</v>
      </c>
      <c r="D11" s="1" t="s">
        <v>12</v>
      </c>
      <c r="E11" s="1" t="s">
        <v>43</v>
      </c>
      <c r="F11" s="1" t="s">
        <v>12</v>
      </c>
      <c r="G11" s="1" t="s">
        <v>145</v>
      </c>
      <c r="H11" s="1" t="s">
        <v>12</v>
      </c>
    </row>
    <row r="12" spans="1:8" ht="15.75" customHeight="1">
      <c r="H12" s="2">
        <f>COUNTIF(H2:H11,"Yes")/COUNTA(H2:H11)</f>
        <v>0.2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0"/>
  <sheetViews>
    <sheetView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1</v>
      </c>
      <c r="C1" s="1" t="s">
        <v>152</v>
      </c>
      <c r="D1" s="1" t="s">
        <v>4</v>
      </c>
      <c r="E1" s="1" t="s">
        <v>153</v>
      </c>
      <c r="F1" s="1" t="s">
        <v>6</v>
      </c>
      <c r="G1" s="1" t="s">
        <v>7</v>
      </c>
    </row>
    <row r="2" spans="1:7" ht="15.75" customHeight="1">
      <c r="A2" s="1" t="s">
        <v>8</v>
      </c>
      <c r="B2" s="1" t="s">
        <v>154</v>
      </c>
      <c r="C2" s="1" t="s">
        <v>109</v>
      </c>
      <c r="D2" s="1" t="s">
        <v>12</v>
      </c>
      <c r="E2" s="1" t="s">
        <v>53</v>
      </c>
      <c r="F2" s="1" t="b">
        <v>0</v>
      </c>
      <c r="G2" s="1" t="s">
        <v>18</v>
      </c>
    </row>
    <row r="3" spans="1:7" ht="15.75" customHeight="1">
      <c r="A3" s="1" t="s">
        <v>8</v>
      </c>
      <c r="B3" s="1" t="s">
        <v>154</v>
      </c>
      <c r="C3" s="1" t="s">
        <v>109</v>
      </c>
      <c r="D3" s="1" t="s">
        <v>12</v>
      </c>
      <c r="E3" s="1" t="s">
        <v>155</v>
      </c>
      <c r="F3" s="1" t="b">
        <v>0</v>
      </c>
      <c r="G3" s="1" t="s">
        <v>12</v>
      </c>
    </row>
    <row r="4" spans="1:7" ht="15.75" customHeight="1">
      <c r="A4" s="1" t="s">
        <v>8</v>
      </c>
      <c r="B4" s="1" t="s">
        <v>154</v>
      </c>
      <c r="C4" s="1" t="s">
        <v>18</v>
      </c>
      <c r="D4" s="1" t="s">
        <v>12</v>
      </c>
      <c r="E4" s="1" t="s">
        <v>129</v>
      </c>
      <c r="F4" s="1" t="b">
        <v>1</v>
      </c>
      <c r="G4" s="1" t="s">
        <v>18</v>
      </c>
    </row>
    <row r="5" spans="1:7" ht="15.75" customHeight="1">
      <c r="A5" s="1" t="s">
        <v>8</v>
      </c>
      <c r="B5" s="1" t="s">
        <v>154</v>
      </c>
      <c r="C5" s="1" t="s">
        <v>12</v>
      </c>
      <c r="D5" s="1" t="s">
        <v>12</v>
      </c>
      <c r="E5" s="1" t="s">
        <v>129</v>
      </c>
      <c r="F5" s="1" t="b">
        <v>0</v>
      </c>
      <c r="G5" s="1" t="s">
        <v>18</v>
      </c>
    </row>
    <row r="6" spans="1:7" ht="15.75" customHeight="1">
      <c r="A6" s="1" t="s">
        <v>8</v>
      </c>
      <c r="B6" s="1" t="s">
        <v>154</v>
      </c>
      <c r="C6" s="1" t="s">
        <v>12</v>
      </c>
      <c r="D6" s="1" t="s">
        <v>18</v>
      </c>
      <c r="E6" s="1" t="s">
        <v>129</v>
      </c>
      <c r="F6" s="1" t="b">
        <v>0</v>
      </c>
      <c r="G6" s="1" t="s">
        <v>12</v>
      </c>
    </row>
    <row r="7" spans="1:7" ht="15.75" customHeight="1">
      <c r="A7" s="1" t="s">
        <v>21</v>
      </c>
      <c r="B7" s="1" t="s">
        <v>11</v>
      </c>
      <c r="C7" s="1" t="s">
        <v>9</v>
      </c>
      <c r="D7" s="1" t="s">
        <v>11</v>
      </c>
      <c r="E7" s="1" t="s">
        <v>47</v>
      </c>
      <c r="F7" s="1" t="s">
        <v>23</v>
      </c>
      <c r="G7" s="1" t="s">
        <v>12</v>
      </c>
    </row>
    <row r="8" spans="1:7" ht="15.75" customHeight="1">
      <c r="A8" s="1" t="s">
        <v>26</v>
      </c>
      <c r="B8" s="1" t="s">
        <v>156</v>
      </c>
      <c r="C8" s="1" t="s">
        <v>109</v>
      </c>
      <c r="D8" s="1" t="s">
        <v>11</v>
      </c>
      <c r="E8" s="1" t="s">
        <v>11</v>
      </c>
      <c r="F8" s="1" t="b">
        <v>0</v>
      </c>
      <c r="G8" s="1" t="s">
        <v>12</v>
      </c>
    </row>
    <row r="9" spans="1:7" ht="15.75" customHeight="1">
      <c r="A9" s="1" t="s">
        <v>26</v>
      </c>
      <c r="B9" s="1" t="s">
        <v>154</v>
      </c>
      <c r="C9" s="1" t="s">
        <v>157</v>
      </c>
      <c r="D9" s="1" t="s">
        <v>157</v>
      </c>
      <c r="E9" s="1" t="s">
        <v>150</v>
      </c>
      <c r="F9" s="1" t="b">
        <v>1</v>
      </c>
      <c r="G9" s="1" t="s">
        <v>12</v>
      </c>
    </row>
    <row r="10" spans="1:7" ht="15.75" customHeight="1">
      <c r="G10" s="2">
        <f>COUNTIF(G2:G9, "Yes")/COUNTA(G2:G9)</f>
        <v>0.375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9"/>
  <sheetViews>
    <sheetView workbookViewId="0"/>
  </sheetViews>
  <sheetFormatPr defaultColWidth="12.7109375" defaultRowHeight="15.75" customHeight="1"/>
  <sheetData>
    <row r="1" spans="1:5" ht="15.75" customHeight="1">
      <c r="A1" s="1" t="s">
        <v>0</v>
      </c>
      <c r="B1" s="1" t="s">
        <v>158</v>
      </c>
      <c r="C1" s="1" t="s">
        <v>159</v>
      </c>
      <c r="D1" s="1" t="s">
        <v>6</v>
      </c>
      <c r="E1" s="1" t="s">
        <v>7</v>
      </c>
    </row>
    <row r="2" spans="1:5" ht="15.75" customHeight="1">
      <c r="A2" s="1" t="s">
        <v>26</v>
      </c>
      <c r="B2" s="1">
        <v>0</v>
      </c>
      <c r="C2" s="1" t="s">
        <v>8</v>
      </c>
      <c r="D2" s="1">
        <v>0</v>
      </c>
      <c r="E2" s="1" t="s">
        <v>12</v>
      </c>
    </row>
    <row r="3" spans="1:5" ht="15.75" customHeight="1">
      <c r="A3" s="1" t="s">
        <v>8</v>
      </c>
      <c r="B3" s="1" t="s">
        <v>19</v>
      </c>
      <c r="C3" s="1" t="s">
        <v>8</v>
      </c>
      <c r="D3" s="1" t="s">
        <v>160</v>
      </c>
      <c r="E3" s="1" t="s">
        <v>18</v>
      </c>
    </row>
    <row r="4" spans="1:5" ht="15.75" customHeight="1">
      <c r="A4" s="1" t="s">
        <v>26</v>
      </c>
      <c r="B4" s="1" t="s">
        <v>19</v>
      </c>
      <c r="C4" s="1">
        <v>2</v>
      </c>
      <c r="D4" s="1" t="s">
        <v>161</v>
      </c>
      <c r="E4" s="1" t="s">
        <v>18</v>
      </c>
    </row>
    <row r="5" spans="1:5" ht="15.75" customHeight="1">
      <c r="A5" s="1" t="s">
        <v>26</v>
      </c>
      <c r="B5" s="1" t="s">
        <v>19</v>
      </c>
      <c r="C5" s="1">
        <v>10</v>
      </c>
      <c r="D5" s="1" t="s">
        <v>162</v>
      </c>
      <c r="E5" s="1" t="s">
        <v>12</v>
      </c>
    </row>
    <row r="6" spans="1:5" ht="15.75" customHeight="1">
      <c r="A6" s="1" t="s">
        <v>163</v>
      </c>
      <c r="B6" s="1" t="s">
        <v>164</v>
      </c>
      <c r="C6" s="1" t="s">
        <v>8</v>
      </c>
      <c r="D6" s="1" t="s">
        <v>92</v>
      </c>
      <c r="E6" s="1" t="s">
        <v>12</v>
      </c>
    </row>
    <row r="7" spans="1:5" ht="15.75" customHeight="1">
      <c r="A7" s="1" t="s">
        <v>21</v>
      </c>
      <c r="B7" s="1" t="s">
        <v>19</v>
      </c>
      <c r="C7" s="1" t="s">
        <v>165</v>
      </c>
      <c r="D7" s="1" t="s">
        <v>23</v>
      </c>
      <c r="E7" s="1" t="s">
        <v>12</v>
      </c>
    </row>
    <row r="8" spans="1:5" ht="15.75" customHeight="1">
      <c r="A8" s="1" t="s">
        <v>21</v>
      </c>
      <c r="B8" s="1" t="s">
        <v>19</v>
      </c>
      <c r="C8" s="1" t="s">
        <v>166</v>
      </c>
      <c r="D8" s="1" t="s">
        <v>23</v>
      </c>
      <c r="E8" s="1" t="s">
        <v>12</v>
      </c>
    </row>
    <row r="9" spans="1:5" ht="15.75" customHeight="1">
      <c r="E9" s="2">
        <f>COUNTIF(E2:E8, "Yes")/COUNTA(E2:E8)</f>
        <v>0.2857142857142857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11"/>
  <sheetViews>
    <sheetView workbookViewId="0"/>
  </sheetViews>
  <sheetFormatPr defaultColWidth="12.7109375" defaultRowHeight="15.75" customHeight="1"/>
  <sheetData>
    <row r="1" spans="1:4" ht="15.75" customHeight="1">
      <c r="A1" s="1" t="s">
        <v>0</v>
      </c>
      <c r="B1" s="1" t="s">
        <v>167</v>
      </c>
      <c r="C1" s="1" t="s">
        <v>6</v>
      </c>
      <c r="D1" s="1" t="s">
        <v>7</v>
      </c>
    </row>
    <row r="2" spans="1:4" ht="15.75" customHeight="1">
      <c r="A2" s="1" t="s">
        <v>26</v>
      </c>
      <c r="B2" s="1">
        <v>0</v>
      </c>
      <c r="C2" s="1">
        <v>0</v>
      </c>
      <c r="D2" s="1" t="s">
        <v>12</v>
      </c>
    </row>
    <row r="3" spans="1:4" ht="15.75" customHeight="1">
      <c r="A3" s="1" t="s">
        <v>26</v>
      </c>
      <c r="B3" s="1">
        <v>1</v>
      </c>
      <c r="C3" s="1">
        <v>0</v>
      </c>
      <c r="D3" s="1" t="s">
        <v>12</v>
      </c>
    </row>
    <row r="4" spans="1:4" ht="15.75" customHeight="1">
      <c r="A4" s="1" t="s">
        <v>26</v>
      </c>
      <c r="B4" s="1">
        <v>2</v>
      </c>
      <c r="C4" s="1">
        <v>2</v>
      </c>
      <c r="D4" s="1" t="s">
        <v>12</v>
      </c>
    </row>
    <row r="5" spans="1:4" ht="15.75" customHeight="1">
      <c r="A5" s="1" t="s">
        <v>26</v>
      </c>
      <c r="B5" s="1">
        <v>3</v>
      </c>
      <c r="C5" s="1">
        <v>0</v>
      </c>
      <c r="D5" s="1" t="s">
        <v>12</v>
      </c>
    </row>
    <row r="6" spans="1:4" ht="15.75" customHeight="1">
      <c r="A6" s="1" t="s">
        <v>26</v>
      </c>
      <c r="B6" s="1">
        <v>4</v>
      </c>
      <c r="C6" s="1">
        <v>2</v>
      </c>
      <c r="D6" s="1" t="s">
        <v>12</v>
      </c>
    </row>
    <row r="7" spans="1:4" ht="15.75" customHeight="1">
      <c r="A7" s="1" t="s">
        <v>8</v>
      </c>
      <c r="B7" s="1" t="s">
        <v>146</v>
      </c>
      <c r="C7" s="1" t="s">
        <v>168</v>
      </c>
      <c r="D7" s="1" t="s">
        <v>18</v>
      </c>
    </row>
    <row r="8" spans="1:4" ht="15.75" customHeight="1">
      <c r="A8" s="1" t="s">
        <v>8</v>
      </c>
      <c r="B8" s="1" t="s">
        <v>147</v>
      </c>
      <c r="C8" s="1" t="s">
        <v>168</v>
      </c>
      <c r="D8" s="1" t="s">
        <v>12</v>
      </c>
    </row>
    <row r="9" spans="1:4" ht="15.75" customHeight="1">
      <c r="A9" s="1" t="s">
        <v>21</v>
      </c>
      <c r="B9" s="1" t="s">
        <v>169</v>
      </c>
      <c r="C9" s="1" t="s">
        <v>23</v>
      </c>
      <c r="D9" s="1" t="s">
        <v>12</v>
      </c>
    </row>
    <row r="10" spans="1:4" ht="15.75" customHeight="1">
      <c r="A10" s="1" t="s">
        <v>21</v>
      </c>
      <c r="B10" s="1" t="s">
        <v>170</v>
      </c>
      <c r="C10" s="1" t="s">
        <v>23</v>
      </c>
      <c r="D10" s="1" t="s">
        <v>12</v>
      </c>
    </row>
    <row r="11" spans="1:4" ht="15.75" customHeight="1">
      <c r="D11" s="2">
        <f>COUNTIF(D2:D10, "Yes")/COUNTA(D2:D10)</f>
        <v>0.1111111111111111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1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28</v>
      </c>
      <c r="C1" s="1" t="s">
        <v>171</v>
      </c>
      <c r="D1" s="1" t="s">
        <v>81</v>
      </c>
      <c r="E1" s="1" t="s">
        <v>6</v>
      </c>
      <c r="F1" s="1" t="s">
        <v>7</v>
      </c>
    </row>
    <row r="2" spans="1:6" ht="15.75" customHeight="1">
      <c r="A2" s="1" t="s">
        <v>8</v>
      </c>
      <c r="B2" s="1" t="s">
        <v>172</v>
      </c>
      <c r="C2" s="1" t="s">
        <v>173</v>
      </c>
      <c r="E2" s="1" t="b">
        <v>1</v>
      </c>
      <c r="F2" s="1" t="s">
        <v>18</v>
      </c>
    </row>
    <row r="3" spans="1:6" ht="15.75" customHeight="1">
      <c r="A3" s="1" t="s">
        <v>8</v>
      </c>
      <c r="B3" s="1" t="s">
        <v>146</v>
      </c>
      <c r="C3" s="1" t="s">
        <v>18</v>
      </c>
      <c r="D3" s="1" t="s">
        <v>174</v>
      </c>
      <c r="E3" s="1" t="b">
        <v>1</v>
      </c>
      <c r="F3" s="1" t="s">
        <v>18</v>
      </c>
    </row>
    <row r="4" spans="1:6" ht="15.75" customHeight="1">
      <c r="A4" s="1" t="s">
        <v>8</v>
      </c>
      <c r="B4" s="1" t="s">
        <v>146</v>
      </c>
      <c r="C4" s="1" t="s">
        <v>18</v>
      </c>
      <c r="D4" s="1" t="s">
        <v>86</v>
      </c>
      <c r="E4" s="1" t="b">
        <v>1</v>
      </c>
      <c r="F4" s="1" t="s">
        <v>12</v>
      </c>
    </row>
    <row r="5" spans="1:6" ht="15.75" customHeight="1">
      <c r="A5" s="1" t="s">
        <v>8</v>
      </c>
      <c r="B5" s="1" t="s">
        <v>146</v>
      </c>
      <c r="C5" s="1" t="s">
        <v>18</v>
      </c>
      <c r="D5" s="1" t="s">
        <v>175</v>
      </c>
      <c r="E5" s="1" t="b">
        <v>1</v>
      </c>
      <c r="F5" s="1" t="s">
        <v>12</v>
      </c>
    </row>
    <row r="6" spans="1:6" ht="15.75" customHeight="1">
      <c r="A6" s="1" t="s">
        <v>8</v>
      </c>
      <c r="B6" s="1" t="s">
        <v>146</v>
      </c>
      <c r="C6" s="1" t="s">
        <v>12</v>
      </c>
      <c r="D6" s="1" t="s">
        <v>174</v>
      </c>
      <c r="E6" s="1" t="b">
        <v>0</v>
      </c>
      <c r="F6" s="1" t="s">
        <v>18</v>
      </c>
    </row>
    <row r="7" spans="1:6" ht="15.75" customHeight="1">
      <c r="A7" s="1" t="s">
        <v>8</v>
      </c>
      <c r="B7" s="1" t="s">
        <v>146</v>
      </c>
      <c r="C7" s="1" t="s">
        <v>12</v>
      </c>
      <c r="D7" s="1" t="s">
        <v>86</v>
      </c>
      <c r="E7" s="1" t="b">
        <v>0</v>
      </c>
      <c r="F7" s="1" t="s">
        <v>12</v>
      </c>
    </row>
    <row r="8" spans="1:6" ht="15.75" customHeight="1">
      <c r="A8" s="1" t="s">
        <v>8</v>
      </c>
      <c r="B8" s="1" t="s">
        <v>146</v>
      </c>
      <c r="C8" s="1" t="s">
        <v>12</v>
      </c>
      <c r="D8" s="1" t="s">
        <v>175</v>
      </c>
      <c r="E8" s="1" t="b">
        <v>0</v>
      </c>
      <c r="F8" s="1" t="s">
        <v>12</v>
      </c>
    </row>
    <row r="9" spans="1:6" ht="15.75" customHeight="1">
      <c r="A9" s="1" t="s">
        <v>8</v>
      </c>
      <c r="B9" s="1" t="s">
        <v>147</v>
      </c>
      <c r="C9" s="1" t="s">
        <v>18</v>
      </c>
      <c r="D9" s="1" t="s">
        <v>174</v>
      </c>
      <c r="E9" s="1" t="b">
        <v>1</v>
      </c>
      <c r="F9" s="1" t="s">
        <v>12</v>
      </c>
    </row>
    <row r="10" spans="1:6" ht="15.75" customHeight="1">
      <c r="A10" s="1" t="s">
        <v>8</v>
      </c>
      <c r="B10" s="1" t="s">
        <v>147</v>
      </c>
      <c r="C10" s="1" t="s">
        <v>18</v>
      </c>
      <c r="D10" s="1" t="s">
        <v>86</v>
      </c>
      <c r="E10" s="1" t="b">
        <v>1</v>
      </c>
      <c r="F10" s="1" t="s">
        <v>12</v>
      </c>
    </row>
    <row r="11" spans="1:6" ht="15.75" customHeight="1">
      <c r="A11" s="1" t="s">
        <v>8</v>
      </c>
      <c r="B11" s="1" t="s">
        <v>147</v>
      </c>
      <c r="C11" s="1" t="s">
        <v>18</v>
      </c>
      <c r="D11" s="1" t="s">
        <v>175</v>
      </c>
      <c r="E11" s="1" t="b">
        <v>1</v>
      </c>
      <c r="F11" s="1" t="s">
        <v>12</v>
      </c>
    </row>
    <row r="12" spans="1:6" ht="15.75" customHeight="1">
      <c r="A12" s="1" t="s">
        <v>8</v>
      </c>
      <c r="B12" s="1" t="s">
        <v>147</v>
      </c>
      <c r="C12" s="1" t="s">
        <v>12</v>
      </c>
      <c r="D12" s="1" t="s">
        <v>174</v>
      </c>
      <c r="E12" s="1" t="b">
        <v>0</v>
      </c>
      <c r="F12" s="1" t="s">
        <v>12</v>
      </c>
    </row>
    <row r="13" spans="1:6" ht="15.75" customHeight="1">
      <c r="A13" s="1" t="s">
        <v>8</v>
      </c>
      <c r="B13" s="1" t="s">
        <v>147</v>
      </c>
      <c r="C13" s="1" t="s">
        <v>12</v>
      </c>
      <c r="D13" s="1" t="s">
        <v>86</v>
      </c>
      <c r="E13" s="1" t="b">
        <v>0</v>
      </c>
      <c r="F13" s="1" t="s">
        <v>12</v>
      </c>
    </row>
    <row r="14" spans="1:6" ht="15.75" customHeight="1">
      <c r="A14" s="1" t="s">
        <v>8</v>
      </c>
      <c r="B14" s="1" t="s">
        <v>147</v>
      </c>
      <c r="C14" s="1" t="s">
        <v>12</v>
      </c>
      <c r="D14" s="1" t="s">
        <v>175</v>
      </c>
      <c r="E14" s="1" t="b">
        <v>0</v>
      </c>
      <c r="F14" s="1" t="s">
        <v>12</v>
      </c>
    </row>
    <row r="15" spans="1:6" ht="15.75" customHeight="1">
      <c r="A15" s="1" t="s">
        <v>21</v>
      </c>
      <c r="B15" s="1" t="s">
        <v>38</v>
      </c>
      <c r="E15" s="1" t="s">
        <v>23</v>
      </c>
      <c r="F15" s="1" t="s">
        <v>12</v>
      </c>
    </row>
    <row r="16" spans="1:6" ht="15.75" customHeight="1">
      <c r="A16" s="1" t="s">
        <v>21</v>
      </c>
      <c r="B16" s="1" t="s">
        <v>176</v>
      </c>
      <c r="E16" s="1" t="s">
        <v>23</v>
      </c>
      <c r="F16" s="1" t="s">
        <v>12</v>
      </c>
    </row>
    <row r="17" spans="1:6" ht="15.75" customHeight="1">
      <c r="A17" s="1" t="s">
        <v>21</v>
      </c>
      <c r="D17" s="1" t="s">
        <v>87</v>
      </c>
      <c r="E17" s="1" t="s">
        <v>23</v>
      </c>
      <c r="F17" s="1" t="s">
        <v>12</v>
      </c>
    </row>
    <row r="18" spans="1:6" ht="15.75" customHeight="1">
      <c r="A18" s="1" t="s">
        <v>26</v>
      </c>
      <c r="B18" s="1" t="s">
        <v>177</v>
      </c>
      <c r="C18" s="1" t="s">
        <v>173</v>
      </c>
      <c r="D18" s="1" t="s">
        <v>178</v>
      </c>
      <c r="E18" s="1" t="b">
        <v>1</v>
      </c>
      <c r="F18" s="1" t="s">
        <v>12</v>
      </c>
    </row>
    <row r="19" spans="1:6" ht="15.75" customHeight="1">
      <c r="A19" s="1" t="s">
        <v>26</v>
      </c>
      <c r="B19" s="1" t="s">
        <v>179</v>
      </c>
      <c r="C19" s="1" t="s">
        <v>18</v>
      </c>
      <c r="D19" s="1" t="s">
        <v>178</v>
      </c>
      <c r="E19" s="1" t="b">
        <v>1</v>
      </c>
      <c r="F19" s="1" t="s">
        <v>12</v>
      </c>
    </row>
    <row r="20" spans="1:6" ht="15.75" customHeight="1">
      <c r="A20" s="1" t="s">
        <v>26</v>
      </c>
      <c r="B20" s="1" t="s">
        <v>179</v>
      </c>
      <c r="C20" s="1" t="s">
        <v>12</v>
      </c>
      <c r="D20" s="1" t="s">
        <v>178</v>
      </c>
      <c r="E20" s="1" t="b">
        <v>0</v>
      </c>
      <c r="F20" s="1" t="s">
        <v>12</v>
      </c>
    </row>
    <row r="21" spans="1:6" ht="15.75" customHeight="1">
      <c r="F21" s="2">
        <f>COUNTIF(F2:F20, "Yes") / COUNTA(F2:F20)</f>
        <v>0.15789473684210525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11"/>
  <sheetViews>
    <sheetView workbookViewId="0"/>
  </sheetViews>
  <sheetFormatPr defaultColWidth="12.7109375" defaultRowHeight="15.75" customHeight="1"/>
  <sheetData>
    <row r="1" spans="1:4" ht="15.75" customHeight="1">
      <c r="A1" s="1" t="s">
        <v>0</v>
      </c>
      <c r="B1" s="1" t="s">
        <v>167</v>
      </c>
      <c r="C1" s="1" t="s">
        <v>6</v>
      </c>
      <c r="D1" s="1" t="s">
        <v>7</v>
      </c>
    </row>
    <row r="2" spans="1:4" ht="15.75" customHeight="1">
      <c r="A2" s="1" t="s">
        <v>8</v>
      </c>
      <c r="B2" s="1" t="s">
        <v>180</v>
      </c>
      <c r="C2" s="1" t="s">
        <v>181</v>
      </c>
      <c r="D2" s="1" t="s">
        <v>18</v>
      </c>
    </row>
    <row r="3" spans="1:4" ht="15.75" customHeight="1">
      <c r="A3" s="1" t="s">
        <v>8</v>
      </c>
      <c r="B3" s="1" t="s">
        <v>182</v>
      </c>
      <c r="C3" s="1" t="s">
        <v>181</v>
      </c>
      <c r="D3" s="1" t="s">
        <v>12</v>
      </c>
    </row>
    <row r="4" spans="1:4" ht="15.75" customHeight="1">
      <c r="A4" s="1" t="s">
        <v>21</v>
      </c>
      <c r="B4" s="1" t="s">
        <v>183</v>
      </c>
      <c r="C4" s="1" t="s">
        <v>23</v>
      </c>
      <c r="D4" s="1" t="s">
        <v>12</v>
      </c>
    </row>
    <row r="5" spans="1:4" ht="15.75" customHeight="1">
      <c r="A5" s="1" t="s">
        <v>21</v>
      </c>
      <c r="B5" s="1" t="s">
        <v>184</v>
      </c>
      <c r="C5" s="1" t="s">
        <v>23</v>
      </c>
      <c r="D5" s="1" t="s">
        <v>12</v>
      </c>
    </row>
    <row r="6" spans="1:4" ht="15.75" customHeight="1">
      <c r="A6" s="1" t="s">
        <v>21</v>
      </c>
      <c r="B6" s="1" t="s">
        <v>31</v>
      </c>
      <c r="C6" s="1" t="s">
        <v>23</v>
      </c>
      <c r="D6" s="1" t="s">
        <v>12</v>
      </c>
    </row>
    <row r="7" spans="1:4" ht="15.75" customHeight="1">
      <c r="A7" s="1" t="s">
        <v>21</v>
      </c>
      <c r="B7" s="1">
        <v>0</v>
      </c>
      <c r="C7" s="1" t="s">
        <v>23</v>
      </c>
      <c r="D7" s="1" t="s">
        <v>12</v>
      </c>
    </row>
    <row r="8" spans="1:4" ht="15.75" customHeight="1">
      <c r="A8" s="1" t="s">
        <v>26</v>
      </c>
      <c r="B8" s="1">
        <v>1</v>
      </c>
      <c r="C8" s="1">
        <v>1</v>
      </c>
      <c r="D8" s="1" t="s">
        <v>18</v>
      </c>
    </row>
    <row r="9" spans="1:4" ht="15.75" customHeight="1">
      <c r="A9" s="1" t="s">
        <v>26</v>
      </c>
      <c r="B9" s="1">
        <v>2</v>
      </c>
      <c r="C9" s="1">
        <v>1</v>
      </c>
      <c r="D9" s="1" t="s">
        <v>12</v>
      </c>
    </row>
    <row r="10" spans="1:4" ht="15.75" customHeight="1">
      <c r="A10" s="1" t="s">
        <v>26</v>
      </c>
      <c r="B10" s="1">
        <v>3</v>
      </c>
      <c r="C10" s="1">
        <v>2</v>
      </c>
      <c r="D10" s="1" t="s">
        <v>12</v>
      </c>
    </row>
    <row r="11" spans="1:4" ht="15.75" customHeight="1">
      <c r="D11" s="2">
        <f>COUNTIF(D2:D10, "Yes")/COUNTA(D2:D10)</f>
        <v>0.22222222222222221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15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1</v>
      </c>
      <c r="C1" s="1" t="s">
        <v>185</v>
      </c>
      <c r="D1" s="1" t="s">
        <v>186</v>
      </c>
      <c r="E1" s="1" t="s">
        <v>6</v>
      </c>
      <c r="F1" s="1" t="s">
        <v>7</v>
      </c>
    </row>
    <row r="2" spans="1:6" ht="15.75" customHeight="1">
      <c r="A2" s="1" t="s">
        <v>8</v>
      </c>
      <c r="B2" s="1">
        <v>0</v>
      </c>
      <c r="C2" s="1" t="s">
        <v>187</v>
      </c>
      <c r="E2" s="1" t="b">
        <v>1</v>
      </c>
      <c r="F2" s="1" t="s">
        <v>12</v>
      </c>
    </row>
    <row r="3" spans="1:6" ht="15.75" customHeight="1">
      <c r="A3" s="1" t="s">
        <v>8</v>
      </c>
      <c r="B3" s="1" t="s">
        <v>43</v>
      </c>
      <c r="C3" s="1" t="s">
        <v>188</v>
      </c>
      <c r="D3" s="1" t="s">
        <v>12</v>
      </c>
      <c r="E3" s="1" t="b">
        <v>1</v>
      </c>
      <c r="F3" s="1" t="s">
        <v>18</v>
      </c>
    </row>
    <row r="4" spans="1:6" ht="15.75" customHeight="1">
      <c r="A4" s="1" t="s">
        <v>8</v>
      </c>
      <c r="B4" s="1" t="s">
        <v>43</v>
      </c>
      <c r="C4" s="1" t="s">
        <v>188</v>
      </c>
      <c r="D4" s="1" t="s">
        <v>18</v>
      </c>
      <c r="E4" s="1" t="b">
        <v>1</v>
      </c>
      <c r="F4" s="1" t="s">
        <v>12</v>
      </c>
    </row>
    <row r="5" spans="1:6" ht="15.75" customHeight="1">
      <c r="A5" s="1" t="s">
        <v>8</v>
      </c>
      <c r="B5" s="3" t="s">
        <v>43</v>
      </c>
      <c r="C5" s="3" t="s">
        <v>189</v>
      </c>
      <c r="D5" s="3" t="s">
        <v>12</v>
      </c>
      <c r="E5" s="1" t="b">
        <v>1</v>
      </c>
      <c r="F5" s="1" t="s">
        <v>18</v>
      </c>
    </row>
    <row r="6" spans="1:6" ht="15.75" customHeight="1">
      <c r="A6" s="1" t="s">
        <v>8</v>
      </c>
      <c r="B6" s="3" t="s">
        <v>43</v>
      </c>
      <c r="C6" s="3" t="s">
        <v>189</v>
      </c>
      <c r="D6" s="3" t="s">
        <v>18</v>
      </c>
      <c r="E6" s="1" t="b">
        <v>1</v>
      </c>
      <c r="F6" s="1" t="s">
        <v>18</v>
      </c>
    </row>
    <row r="7" spans="1:6" ht="15.75" customHeight="1">
      <c r="A7" s="1" t="s">
        <v>8</v>
      </c>
      <c r="B7" s="3" t="s">
        <v>43</v>
      </c>
      <c r="C7" s="1" t="s">
        <v>190</v>
      </c>
      <c r="E7" s="1" t="b">
        <v>0</v>
      </c>
      <c r="F7" s="1" t="s">
        <v>18</v>
      </c>
    </row>
    <row r="8" spans="1:6" ht="15.75" customHeight="1">
      <c r="A8" s="1" t="s">
        <v>21</v>
      </c>
      <c r="B8" s="1" t="s">
        <v>191</v>
      </c>
      <c r="C8" s="1"/>
      <c r="E8" s="1" t="s">
        <v>23</v>
      </c>
      <c r="F8" s="1" t="s">
        <v>12</v>
      </c>
    </row>
    <row r="9" spans="1:6" ht="15.75" customHeight="1">
      <c r="A9" s="1" t="s">
        <v>26</v>
      </c>
      <c r="B9" s="1">
        <v>1</v>
      </c>
      <c r="C9" s="1" t="s">
        <v>187</v>
      </c>
      <c r="E9" s="1" t="b">
        <v>1</v>
      </c>
      <c r="F9" s="1" t="s">
        <v>12</v>
      </c>
    </row>
    <row r="10" spans="1:6" ht="15.75" customHeight="1">
      <c r="A10" s="1" t="s">
        <v>26</v>
      </c>
      <c r="B10" s="1">
        <v>2</v>
      </c>
      <c r="C10" s="1" t="s">
        <v>187</v>
      </c>
      <c r="D10" s="1"/>
      <c r="E10" s="1" t="b">
        <v>1</v>
      </c>
      <c r="F10" s="1" t="s">
        <v>12</v>
      </c>
    </row>
    <row r="11" spans="1:6" ht="15.75" customHeight="1">
      <c r="A11" s="1" t="s">
        <v>26</v>
      </c>
      <c r="B11" s="1">
        <v>3</v>
      </c>
      <c r="C11" s="1" t="s">
        <v>188</v>
      </c>
      <c r="D11" s="1" t="s">
        <v>12</v>
      </c>
      <c r="E11" s="1" t="b">
        <v>1</v>
      </c>
      <c r="F11" s="1" t="s">
        <v>12</v>
      </c>
    </row>
    <row r="12" spans="1:6" ht="15.75" customHeight="1">
      <c r="A12" s="1" t="s">
        <v>26</v>
      </c>
      <c r="B12" s="1">
        <v>3</v>
      </c>
      <c r="C12" s="1" t="s">
        <v>189</v>
      </c>
      <c r="D12" s="1" t="s">
        <v>12</v>
      </c>
      <c r="E12" s="1" t="b">
        <v>1</v>
      </c>
      <c r="F12" s="1" t="s">
        <v>12</v>
      </c>
    </row>
    <row r="13" spans="1:6" ht="15.75" customHeight="1">
      <c r="A13" s="1" t="s">
        <v>26</v>
      </c>
      <c r="B13" s="1">
        <v>3</v>
      </c>
      <c r="C13" s="1" t="s">
        <v>190</v>
      </c>
      <c r="E13" s="1" t="b">
        <v>0</v>
      </c>
      <c r="F13" s="1" t="s">
        <v>12</v>
      </c>
    </row>
    <row r="14" spans="1:6" ht="15.75" customHeight="1">
      <c r="A14" s="1" t="s">
        <v>26</v>
      </c>
      <c r="B14" s="1" t="s">
        <v>43</v>
      </c>
      <c r="C14" s="1" t="s">
        <v>187</v>
      </c>
      <c r="D14" s="1" t="s">
        <v>192</v>
      </c>
      <c r="E14" s="1" t="b">
        <v>1</v>
      </c>
      <c r="F14" s="1" t="s">
        <v>18</v>
      </c>
    </row>
    <row r="15" spans="1:6" ht="15.75" customHeight="1">
      <c r="F15" s="2">
        <f>COUNTIF(F2:F14,"Yes")/COUNTA(F2:F14)</f>
        <v>0.38461538461538464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11"/>
  <sheetViews>
    <sheetView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4</v>
      </c>
      <c r="F1" s="1" t="s">
        <v>6</v>
      </c>
      <c r="G1" s="1" t="s">
        <v>7</v>
      </c>
    </row>
    <row r="2" spans="1:7" ht="15.75" customHeight="1">
      <c r="A2" s="1" t="s">
        <v>8</v>
      </c>
      <c r="B2" s="1" t="s">
        <v>31</v>
      </c>
      <c r="C2" s="1" t="s">
        <v>31</v>
      </c>
      <c r="D2" s="1" t="s">
        <v>109</v>
      </c>
      <c r="E2" s="1" t="s">
        <v>142</v>
      </c>
      <c r="F2" s="1" t="s">
        <v>48</v>
      </c>
      <c r="G2" s="1" t="s">
        <v>12</v>
      </c>
    </row>
    <row r="3" spans="1:7" ht="15.75" customHeight="1">
      <c r="A3" s="1" t="s">
        <v>8</v>
      </c>
      <c r="B3" s="1" t="s">
        <v>32</v>
      </c>
      <c r="C3" s="1" t="s">
        <v>31</v>
      </c>
      <c r="D3" s="1" t="s">
        <v>109</v>
      </c>
      <c r="E3" s="1" t="s">
        <v>12</v>
      </c>
      <c r="F3" s="1" t="s">
        <v>48</v>
      </c>
      <c r="G3" s="1" t="s">
        <v>18</v>
      </c>
    </row>
    <row r="4" spans="1:7" ht="15.75" customHeight="1">
      <c r="A4" s="1" t="s">
        <v>8</v>
      </c>
      <c r="B4" s="1" t="s">
        <v>31</v>
      </c>
      <c r="C4" s="1" t="s">
        <v>32</v>
      </c>
      <c r="D4" s="1" t="s">
        <v>109</v>
      </c>
      <c r="E4" s="1" t="s">
        <v>12</v>
      </c>
      <c r="F4" s="1" t="s">
        <v>48</v>
      </c>
      <c r="G4" s="1" t="s">
        <v>12</v>
      </c>
    </row>
    <row r="5" spans="1:7" ht="15.75" customHeight="1">
      <c r="A5" s="1" t="s">
        <v>8</v>
      </c>
      <c r="B5" s="1" t="s">
        <v>32</v>
      </c>
      <c r="C5" s="1" t="s">
        <v>32</v>
      </c>
      <c r="D5" s="1" t="s">
        <v>196</v>
      </c>
      <c r="E5" s="1" t="s">
        <v>12</v>
      </c>
      <c r="F5" s="1" t="s">
        <v>197</v>
      </c>
      <c r="G5" s="1" t="s">
        <v>12</v>
      </c>
    </row>
    <row r="6" spans="1:7" ht="15.75" customHeight="1">
      <c r="A6" s="1" t="s">
        <v>8</v>
      </c>
      <c r="B6" s="3" t="s">
        <v>32</v>
      </c>
      <c r="C6" s="3" t="s">
        <v>32</v>
      </c>
      <c r="D6" s="1" t="s">
        <v>198</v>
      </c>
      <c r="E6" s="1" t="s">
        <v>12</v>
      </c>
      <c r="F6" s="1" t="s">
        <v>199</v>
      </c>
      <c r="G6" s="1" t="s">
        <v>18</v>
      </c>
    </row>
    <row r="7" spans="1:7" ht="15.75" customHeight="1">
      <c r="A7" s="1" t="s">
        <v>8</v>
      </c>
      <c r="B7" s="3" t="s">
        <v>32</v>
      </c>
      <c r="C7" s="3" t="s">
        <v>32</v>
      </c>
      <c r="D7" s="1" t="s">
        <v>198</v>
      </c>
      <c r="E7" s="1" t="s">
        <v>18</v>
      </c>
      <c r="F7" s="1" t="s">
        <v>199</v>
      </c>
      <c r="G7" s="1" t="s">
        <v>12</v>
      </c>
    </row>
    <row r="8" spans="1:7" ht="15.75" customHeight="1">
      <c r="A8" s="1" t="s">
        <v>21</v>
      </c>
      <c r="B8" s="1" t="s">
        <v>8</v>
      </c>
      <c r="C8" s="1" t="s">
        <v>200</v>
      </c>
      <c r="D8" s="1" t="s">
        <v>9</v>
      </c>
      <c r="E8" s="1" t="s">
        <v>11</v>
      </c>
      <c r="F8" s="1" t="s">
        <v>23</v>
      </c>
      <c r="G8" s="1" t="s">
        <v>12</v>
      </c>
    </row>
    <row r="9" spans="1:7" ht="15.75" customHeight="1">
      <c r="A9" s="1" t="s">
        <v>21</v>
      </c>
      <c r="B9" s="1" t="s">
        <v>200</v>
      </c>
      <c r="C9" s="1" t="s">
        <v>8</v>
      </c>
      <c r="D9" s="1" t="s">
        <v>9</v>
      </c>
      <c r="E9" s="1" t="s">
        <v>11</v>
      </c>
      <c r="F9" s="1" t="s">
        <v>23</v>
      </c>
      <c r="G9" s="1" t="s">
        <v>12</v>
      </c>
    </row>
    <row r="10" spans="1:7" ht="15.75" customHeight="1">
      <c r="A10" s="1" t="s">
        <v>26</v>
      </c>
      <c r="B10" s="3" t="s">
        <v>32</v>
      </c>
      <c r="C10" s="3" t="s">
        <v>32</v>
      </c>
      <c r="D10" s="1" t="s">
        <v>102</v>
      </c>
      <c r="E10" s="1" t="s">
        <v>11</v>
      </c>
      <c r="F10" s="1" t="s">
        <v>201</v>
      </c>
      <c r="G10" s="1" t="s">
        <v>12</v>
      </c>
    </row>
    <row r="11" spans="1:7" ht="15.75" customHeight="1">
      <c r="G11" s="2">
        <f>COUNTIF(G2:G10, "Yes")/COUNTA(G2:G10)</f>
        <v>0.22222222222222221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8"/>
  <sheetViews>
    <sheetView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6</v>
      </c>
      <c r="G1" s="1" t="s">
        <v>7</v>
      </c>
    </row>
    <row r="2" spans="1:7" ht="15.75" customHeight="1">
      <c r="A2" s="1" t="s">
        <v>8</v>
      </c>
      <c r="B2" s="1" t="s">
        <v>45</v>
      </c>
      <c r="C2" s="1" t="s">
        <v>45</v>
      </c>
      <c r="D2" s="1" t="s">
        <v>43</v>
      </c>
      <c r="E2" s="1" t="s">
        <v>206</v>
      </c>
      <c r="F2" s="1" t="s">
        <v>46</v>
      </c>
      <c r="G2" s="1" t="s">
        <v>18</v>
      </c>
    </row>
    <row r="3" spans="1:7" ht="15.75" customHeight="1">
      <c r="A3" s="1" t="s">
        <v>8</v>
      </c>
      <c r="B3" s="1" t="s">
        <v>45</v>
      </c>
      <c r="C3" s="1" t="s">
        <v>45</v>
      </c>
      <c r="D3" s="1" t="s">
        <v>43</v>
      </c>
      <c r="E3" s="1" t="s">
        <v>207</v>
      </c>
      <c r="F3" s="1" t="s">
        <v>46</v>
      </c>
      <c r="G3" s="1" t="s">
        <v>18</v>
      </c>
    </row>
    <row r="4" spans="1:7" ht="15.75" customHeight="1">
      <c r="A4" s="1" t="s">
        <v>8</v>
      </c>
      <c r="B4" s="1" t="s">
        <v>45</v>
      </c>
      <c r="C4" s="1" t="s">
        <v>45</v>
      </c>
      <c r="D4" s="1" t="s">
        <v>43</v>
      </c>
      <c r="E4" s="1" t="s">
        <v>204</v>
      </c>
      <c r="F4" s="1" t="s">
        <v>208</v>
      </c>
      <c r="G4" s="1" t="s">
        <v>18</v>
      </c>
    </row>
    <row r="5" spans="1:7" ht="15.75" customHeight="1">
      <c r="A5" s="1" t="s">
        <v>21</v>
      </c>
      <c r="B5" s="1" t="s">
        <v>209</v>
      </c>
      <c r="C5" s="1" t="s">
        <v>45</v>
      </c>
      <c r="F5" s="1" t="s">
        <v>23</v>
      </c>
      <c r="G5" s="1" t="s">
        <v>12</v>
      </c>
    </row>
    <row r="6" spans="1:7" ht="15.75" customHeight="1">
      <c r="A6" s="1" t="s">
        <v>21</v>
      </c>
      <c r="B6" s="1" t="s">
        <v>45</v>
      </c>
      <c r="C6" s="1" t="s">
        <v>209</v>
      </c>
      <c r="F6" s="1" t="s">
        <v>23</v>
      </c>
      <c r="G6" s="1" t="s">
        <v>12</v>
      </c>
    </row>
    <row r="7" spans="1:7" ht="15.75" customHeight="1">
      <c r="A7" s="1" t="s">
        <v>26</v>
      </c>
      <c r="B7" s="1" t="s">
        <v>210</v>
      </c>
      <c r="C7" s="1" t="s">
        <v>45</v>
      </c>
      <c r="D7" s="1">
        <v>1</v>
      </c>
      <c r="E7" s="1" t="s">
        <v>11</v>
      </c>
      <c r="F7" s="1" t="s">
        <v>208</v>
      </c>
      <c r="G7" s="1" t="s">
        <v>12</v>
      </c>
    </row>
    <row r="8" spans="1:7" ht="15.75" customHeight="1">
      <c r="G8" s="2">
        <f>COUNTIF(G2:G7, "Yes")/COUNTA(G2:G7)</f>
        <v>0.5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F12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1</v>
      </c>
      <c r="C1" s="1" t="s">
        <v>211</v>
      </c>
      <c r="D1" s="1" t="s">
        <v>212</v>
      </c>
      <c r="E1" s="1" t="s">
        <v>6</v>
      </c>
      <c r="F1" s="1" t="s">
        <v>7</v>
      </c>
    </row>
    <row r="2" spans="1:6" ht="15.75" customHeight="1">
      <c r="A2" s="1" t="s">
        <v>8</v>
      </c>
      <c r="B2" s="1" t="s">
        <v>31</v>
      </c>
      <c r="C2" s="1" t="s">
        <v>9</v>
      </c>
      <c r="D2" s="1" t="s">
        <v>142</v>
      </c>
      <c r="E2" s="1">
        <v>-1</v>
      </c>
      <c r="F2" s="1" t="s">
        <v>12</v>
      </c>
    </row>
    <row r="3" spans="1:6" ht="15.75" customHeight="1">
      <c r="A3" s="1" t="s">
        <v>8</v>
      </c>
      <c r="B3" s="1">
        <v>1</v>
      </c>
      <c r="C3" s="1" t="s">
        <v>60</v>
      </c>
      <c r="D3" s="1" t="s">
        <v>12</v>
      </c>
      <c r="E3" s="1">
        <v>-1</v>
      </c>
      <c r="F3" s="1" t="s">
        <v>18</v>
      </c>
    </row>
    <row r="4" spans="1:6" ht="15.75" customHeight="1">
      <c r="A4" s="1" t="s">
        <v>8</v>
      </c>
      <c r="B4" s="1">
        <v>1</v>
      </c>
      <c r="C4" s="1" t="s">
        <v>60</v>
      </c>
      <c r="D4" s="1" t="s">
        <v>18</v>
      </c>
      <c r="E4" s="1" t="s">
        <v>213</v>
      </c>
      <c r="F4" s="1" t="s">
        <v>18</v>
      </c>
    </row>
    <row r="5" spans="1:6" ht="15.75" customHeight="1">
      <c r="A5" s="1" t="s">
        <v>8</v>
      </c>
      <c r="B5" s="1" t="s">
        <v>14</v>
      </c>
      <c r="C5" s="1" t="s">
        <v>214</v>
      </c>
      <c r="D5" s="1" t="s">
        <v>142</v>
      </c>
      <c r="E5" s="1">
        <v>-1</v>
      </c>
      <c r="F5" s="1" t="s">
        <v>12</v>
      </c>
    </row>
    <row r="6" spans="1:6" ht="15.75" customHeight="1">
      <c r="A6" s="1" t="s">
        <v>8</v>
      </c>
      <c r="B6" s="1" t="s">
        <v>14</v>
      </c>
      <c r="C6" s="1" t="s">
        <v>215</v>
      </c>
      <c r="D6" s="1" t="s">
        <v>12</v>
      </c>
      <c r="E6" s="1">
        <v>-1</v>
      </c>
      <c r="F6" s="1" t="s">
        <v>18</v>
      </c>
    </row>
    <row r="7" spans="1:6" ht="15.75" customHeight="1">
      <c r="A7" s="1" t="s">
        <v>8</v>
      </c>
      <c r="B7" s="1" t="s">
        <v>14</v>
      </c>
      <c r="C7" s="1" t="s">
        <v>215</v>
      </c>
      <c r="D7" s="1" t="s">
        <v>216</v>
      </c>
      <c r="E7" s="1" t="s">
        <v>217</v>
      </c>
      <c r="F7" s="1" t="s">
        <v>18</v>
      </c>
    </row>
    <row r="8" spans="1:6" ht="15.75" customHeight="1">
      <c r="A8" s="1" t="s">
        <v>8</v>
      </c>
      <c r="B8" s="1" t="s">
        <v>14</v>
      </c>
      <c r="C8" s="1" t="s">
        <v>215</v>
      </c>
      <c r="D8" s="1" t="s">
        <v>218</v>
      </c>
      <c r="E8" s="1" t="s">
        <v>219</v>
      </c>
      <c r="F8" s="1" t="s">
        <v>18</v>
      </c>
    </row>
    <row r="9" spans="1:6" ht="15.75" customHeight="1">
      <c r="A9" s="1" t="s">
        <v>26</v>
      </c>
      <c r="B9" s="1" t="s">
        <v>14</v>
      </c>
      <c r="C9" s="1" t="s">
        <v>220</v>
      </c>
      <c r="D9" s="1" t="s">
        <v>157</v>
      </c>
      <c r="E9" s="1">
        <v>1</v>
      </c>
      <c r="F9" s="1" t="s">
        <v>18</v>
      </c>
    </row>
    <row r="10" spans="1:6" ht="15.75" customHeight="1">
      <c r="A10" s="1" t="s">
        <v>26</v>
      </c>
      <c r="B10" s="1" t="s">
        <v>14</v>
      </c>
      <c r="C10" s="1" t="s">
        <v>221</v>
      </c>
      <c r="D10" s="1" t="s">
        <v>157</v>
      </c>
      <c r="E10" s="1" t="s">
        <v>217</v>
      </c>
      <c r="F10" s="1" t="s">
        <v>18</v>
      </c>
    </row>
    <row r="11" spans="1:6" ht="15.75" customHeight="1">
      <c r="A11" s="1" t="s">
        <v>21</v>
      </c>
      <c r="B11" s="1" t="s">
        <v>19</v>
      </c>
      <c r="C11" s="1" t="s">
        <v>47</v>
      </c>
      <c r="D11" s="1" t="s">
        <v>9</v>
      </c>
      <c r="E11" s="1" t="s">
        <v>23</v>
      </c>
      <c r="F11" s="1" t="s">
        <v>12</v>
      </c>
    </row>
    <row r="12" spans="1:6" ht="15.75" customHeight="1">
      <c r="F12" s="2">
        <f>COUNTIF(F2:F11,"Yes")/COUNTA(F2:F11)</f>
        <v>0.7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11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158</v>
      </c>
      <c r="C1" s="1" t="s">
        <v>167</v>
      </c>
      <c r="D1" s="1" t="s">
        <v>222</v>
      </c>
      <c r="E1" s="1" t="s">
        <v>6</v>
      </c>
      <c r="F1" s="1" t="s">
        <v>7</v>
      </c>
    </row>
    <row r="2" spans="1:6" ht="15.75" customHeight="1">
      <c r="A2" s="1" t="s">
        <v>26</v>
      </c>
      <c r="B2" s="1">
        <v>1</v>
      </c>
      <c r="C2" s="1" t="s">
        <v>223</v>
      </c>
      <c r="D2" s="1" t="s">
        <v>157</v>
      </c>
      <c r="E2" s="1" t="b">
        <v>1</v>
      </c>
      <c r="F2" s="1" t="s">
        <v>18</v>
      </c>
    </row>
    <row r="3" spans="1:6" ht="15.75" customHeight="1">
      <c r="A3" s="1" t="s">
        <v>26</v>
      </c>
      <c r="B3" s="1" t="s">
        <v>224</v>
      </c>
      <c r="C3" s="1">
        <v>1</v>
      </c>
      <c r="D3" s="1" t="s">
        <v>142</v>
      </c>
      <c r="E3" s="1" t="b">
        <v>0</v>
      </c>
      <c r="F3" s="1" t="s">
        <v>18</v>
      </c>
    </row>
    <row r="4" spans="1:6" ht="15.75" customHeight="1">
      <c r="A4" s="1" t="s">
        <v>8</v>
      </c>
      <c r="B4" s="1" t="s">
        <v>224</v>
      </c>
      <c r="C4" s="1" t="s">
        <v>224</v>
      </c>
      <c r="D4" s="1" t="s">
        <v>12</v>
      </c>
      <c r="E4" s="1" t="b">
        <v>0</v>
      </c>
      <c r="F4" s="1" t="s">
        <v>18</v>
      </c>
    </row>
    <row r="5" spans="1:6" ht="15.75" customHeight="1">
      <c r="A5" s="1" t="s">
        <v>8</v>
      </c>
      <c r="B5" s="1" t="s">
        <v>224</v>
      </c>
      <c r="C5" s="1" t="s">
        <v>224</v>
      </c>
      <c r="D5" s="1" t="s">
        <v>18</v>
      </c>
      <c r="E5" s="1" t="b">
        <v>1</v>
      </c>
      <c r="F5" s="1" t="s">
        <v>18</v>
      </c>
    </row>
    <row r="6" spans="1:6" ht="15.75" customHeight="1">
      <c r="A6" s="1" t="s">
        <v>8</v>
      </c>
      <c r="B6" s="1" t="s">
        <v>224</v>
      </c>
      <c r="C6" s="1" t="s">
        <v>225</v>
      </c>
      <c r="D6" s="1" t="s">
        <v>11</v>
      </c>
      <c r="E6" s="1" t="s">
        <v>11</v>
      </c>
      <c r="F6" s="1" t="s">
        <v>12</v>
      </c>
    </row>
    <row r="7" spans="1:6" ht="15.75" customHeight="1">
      <c r="A7" s="1" t="s">
        <v>8</v>
      </c>
      <c r="B7" s="1" t="s">
        <v>225</v>
      </c>
      <c r="C7" s="1" t="s">
        <v>224</v>
      </c>
      <c r="D7" s="1" t="s">
        <v>11</v>
      </c>
      <c r="E7" s="1" t="s">
        <v>11</v>
      </c>
      <c r="F7" s="1" t="s">
        <v>12</v>
      </c>
    </row>
    <row r="8" spans="1:6" ht="15.75" customHeight="1">
      <c r="A8" s="1" t="s">
        <v>8</v>
      </c>
      <c r="B8" s="1" t="s">
        <v>225</v>
      </c>
      <c r="C8" s="1" t="s">
        <v>225</v>
      </c>
      <c r="D8" s="1" t="s">
        <v>11</v>
      </c>
      <c r="E8" s="1" t="s">
        <v>11</v>
      </c>
      <c r="F8" s="1" t="s">
        <v>12</v>
      </c>
    </row>
    <row r="9" spans="1:6" ht="15.75" customHeight="1">
      <c r="A9" s="1" t="s">
        <v>21</v>
      </c>
      <c r="B9" s="1" t="s">
        <v>47</v>
      </c>
      <c r="C9" s="1" t="s">
        <v>8</v>
      </c>
      <c r="D9" s="1" t="s">
        <v>9</v>
      </c>
      <c r="E9" s="1" t="s">
        <v>23</v>
      </c>
      <c r="F9" s="1" t="s">
        <v>12</v>
      </c>
    </row>
    <row r="10" spans="1:6" ht="15.75" customHeight="1">
      <c r="A10" s="1" t="s">
        <v>21</v>
      </c>
      <c r="B10" s="1" t="s">
        <v>8</v>
      </c>
      <c r="C10" s="1" t="s">
        <v>47</v>
      </c>
      <c r="D10" s="1" t="s">
        <v>9</v>
      </c>
      <c r="E10" s="1" t="s">
        <v>23</v>
      </c>
      <c r="F10" s="1" t="s">
        <v>12</v>
      </c>
    </row>
    <row r="11" spans="1:6" ht="15.75" customHeight="1">
      <c r="F11" s="2">
        <f>COUNTIF(F2:F10, "Yes")/COUNTA(F2:F10)</f>
        <v>0.44444444444444442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9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1</v>
      </c>
      <c r="C1" s="1" t="s">
        <v>226</v>
      </c>
      <c r="D1" s="1" t="s">
        <v>227</v>
      </c>
      <c r="E1" s="1" t="s">
        <v>6</v>
      </c>
      <c r="F1" s="1" t="s">
        <v>7</v>
      </c>
    </row>
    <row r="2" spans="1:6" ht="15.75" customHeight="1">
      <c r="A2" s="1" t="s">
        <v>26</v>
      </c>
      <c r="B2" s="1" t="s">
        <v>31</v>
      </c>
      <c r="C2" s="1" t="s">
        <v>157</v>
      </c>
      <c r="D2" s="1" t="s">
        <v>228</v>
      </c>
      <c r="E2" s="1" t="b">
        <v>1</v>
      </c>
      <c r="F2" s="1" t="s">
        <v>18</v>
      </c>
    </row>
    <row r="3" spans="1:6" ht="15.75" customHeight="1">
      <c r="A3" s="1" t="s">
        <v>26</v>
      </c>
      <c r="B3" s="1">
        <v>1</v>
      </c>
      <c r="C3" s="1" t="s">
        <v>157</v>
      </c>
      <c r="D3" s="1" t="s">
        <v>228</v>
      </c>
      <c r="E3" s="1" t="b">
        <v>1</v>
      </c>
      <c r="F3" s="1" t="s">
        <v>12</v>
      </c>
    </row>
    <row r="4" spans="1:6" ht="15.75" customHeight="1">
      <c r="A4" s="1" t="s">
        <v>8</v>
      </c>
      <c r="B4" s="1" t="s">
        <v>14</v>
      </c>
      <c r="C4" s="1" t="s">
        <v>229</v>
      </c>
      <c r="D4" s="1" t="s">
        <v>228</v>
      </c>
      <c r="E4" s="1" t="b">
        <v>1</v>
      </c>
      <c r="F4" s="1" t="s">
        <v>12</v>
      </c>
    </row>
    <row r="5" spans="1:6" ht="15.75" customHeight="1">
      <c r="A5" s="1" t="s">
        <v>8</v>
      </c>
      <c r="B5" s="1" t="s">
        <v>14</v>
      </c>
      <c r="C5" s="1" t="s">
        <v>12</v>
      </c>
      <c r="D5" s="1" t="s">
        <v>230</v>
      </c>
      <c r="E5" s="1" t="b">
        <v>1</v>
      </c>
      <c r="F5" s="1" t="s">
        <v>12</v>
      </c>
    </row>
    <row r="6" spans="1:6" ht="15.75" customHeight="1">
      <c r="A6" s="1" t="s">
        <v>26</v>
      </c>
      <c r="B6" s="1" t="s">
        <v>14</v>
      </c>
      <c r="C6" s="1" t="s">
        <v>12</v>
      </c>
      <c r="D6" s="1" t="s">
        <v>231</v>
      </c>
      <c r="E6" s="1" t="b">
        <v>1</v>
      </c>
      <c r="F6" s="1" t="s">
        <v>18</v>
      </c>
    </row>
    <row r="7" spans="1:6" ht="15.75" customHeight="1">
      <c r="A7" s="1" t="s">
        <v>8</v>
      </c>
      <c r="B7" s="1" t="s">
        <v>14</v>
      </c>
      <c r="C7" s="1" t="s">
        <v>12</v>
      </c>
      <c r="D7" s="1" t="s">
        <v>232</v>
      </c>
      <c r="E7" s="1" t="b">
        <v>0</v>
      </c>
      <c r="F7" s="1" t="s">
        <v>18</v>
      </c>
    </row>
    <row r="8" spans="1:6" ht="15.75" customHeight="1">
      <c r="A8" s="1" t="s">
        <v>21</v>
      </c>
      <c r="B8" s="1" t="s">
        <v>233</v>
      </c>
      <c r="C8" s="1" t="s">
        <v>9</v>
      </c>
      <c r="D8" s="1" t="s">
        <v>9</v>
      </c>
      <c r="E8" s="1" t="s">
        <v>23</v>
      </c>
      <c r="F8" s="1" t="s">
        <v>12</v>
      </c>
    </row>
    <row r="9" spans="1:6" ht="15.75" customHeight="1">
      <c r="F9" s="2">
        <f>COUNTIF(F2:F8,"Yes")/COUNTA(F2:F8)</f>
        <v>0.42857142857142855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E10"/>
  <sheetViews>
    <sheetView workbookViewId="0"/>
  </sheetViews>
  <sheetFormatPr defaultColWidth="12.7109375" defaultRowHeight="15.75" customHeight="1"/>
  <sheetData>
    <row r="1" spans="1:5" ht="15.75" customHeight="1">
      <c r="A1" s="1" t="s">
        <v>0</v>
      </c>
      <c r="B1" s="1" t="s">
        <v>193</v>
      </c>
      <c r="C1" s="1" t="s">
        <v>194</v>
      </c>
      <c r="D1" s="1" t="s">
        <v>6</v>
      </c>
      <c r="E1" s="1" t="s">
        <v>7</v>
      </c>
    </row>
    <row r="2" spans="1:5" ht="15.75" customHeight="1">
      <c r="A2" s="1" t="s">
        <v>26</v>
      </c>
      <c r="B2" s="1" t="s">
        <v>234</v>
      </c>
      <c r="C2" s="1" t="s">
        <v>11</v>
      </c>
      <c r="D2" s="1" t="s">
        <v>18</v>
      </c>
      <c r="E2" s="1" t="s">
        <v>18</v>
      </c>
    </row>
    <row r="3" spans="1:5" ht="15.75" customHeight="1">
      <c r="A3" s="1" t="s">
        <v>8</v>
      </c>
      <c r="B3" s="1" t="s">
        <v>235</v>
      </c>
      <c r="C3" s="1" t="s">
        <v>236</v>
      </c>
      <c r="D3" s="1" t="s">
        <v>12</v>
      </c>
      <c r="E3" s="1" t="s">
        <v>12</v>
      </c>
    </row>
    <row r="4" spans="1:5" ht="15.75" customHeight="1">
      <c r="A4" s="1" t="s">
        <v>8</v>
      </c>
      <c r="B4" s="1" t="s">
        <v>235</v>
      </c>
      <c r="C4" s="1" t="s">
        <v>237</v>
      </c>
      <c r="D4" s="1" t="s">
        <v>12</v>
      </c>
      <c r="E4" s="1" t="s">
        <v>18</v>
      </c>
    </row>
    <row r="5" spans="1:5" ht="15.75" customHeight="1">
      <c r="A5" s="1" t="s">
        <v>8</v>
      </c>
      <c r="B5" s="1" t="s">
        <v>235</v>
      </c>
      <c r="C5" s="1" t="s">
        <v>238</v>
      </c>
      <c r="D5" s="1" t="s">
        <v>12</v>
      </c>
      <c r="E5" s="1" t="s">
        <v>18</v>
      </c>
    </row>
    <row r="6" spans="1:5" ht="15.75" customHeight="1">
      <c r="A6" s="1" t="s">
        <v>26</v>
      </c>
      <c r="B6" s="1" t="s">
        <v>235</v>
      </c>
      <c r="C6" s="1" t="s">
        <v>239</v>
      </c>
      <c r="D6" s="1" t="s">
        <v>18</v>
      </c>
      <c r="E6" s="1" t="s">
        <v>18</v>
      </c>
    </row>
    <row r="7" spans="1:5" ht="15.75" customHeight="1">
      <c r="A7" s="1" t="s">
        <v>8</v>
      </c>
      <c r="B7" s="1" t="s">
        <v>235</v>
      </c>
      <c r="C7" s="1" t="s">
        <v>240</v>
      </c>
      <c r="D7" s="1" t="s">
        <v>18</v>
      </c>
      <c r="E7" s="1" t="s">
        <v>12</v>
      </c>
    </row>
    <row r="8" spans="1:5" ht="15.75" customHeight="1">
      <c r="A8" s="1" t="s">
        <v>21</v>
      </c>
      <c r="B8" s="1" t="s">
        <v>241</v>
      </c>
      <c r="C8" s="1" t="s">
        <v>8</v>
      </c>
      <c r="D8" s="1" t="s">
        <v>23</v>
      </c>
      <c r="E8" s="1" t="s">
        <v>12</v>
      </c>
    </row>
    <row r="9" spans="1:5" ht="15.75" customHeight="1">
      <c r="A9" s="1" t="s">
        <v>21</v>
      </c>
      <c r="B9" s="1" t="s">
        <v>8</v>
      </c>
      <c r="C9" s="1" t="s">
        <v>241</v>
      </c>
      <c r="D9" s="1" t="s">
        <v>23</v>
      </c>
      <c r="E9" s="1" t="s">
        <v>12</v>
      </c>
    </row>
    <row r="10" spans="1:5" ht="15.75" customHeight="1">
      <c r="E10" s="2">
        <f>COUNTIF(E2:E9, "Yes")/COUNTA(E2:E9)</f>
        <v>0.5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F21"/>
  <sheetViews>
    <sheetView workbookViewId="0"/>
  </sheetViews>
  <sheetFormatPr defaultColWidth="12.7109375" defaultRowHeight="15.75" customHeight="1"/>
  <sheetData>
    <row r="1" spans="1:6" ht="15.75" customHeight="1">
      <c r="A1" s="1" t="s">
        <v>0</v>
      </c>
      <c r="B1" s="1" t="s">
        <v>28</v>
      </c>
      <c r="C1" s="1" t="s">
        <v>242</v>
      </c>
      <c r="D1" s="1" t="s">
        <v>243</v>
      </c>
      <c r="E1" s="1" t="s">
        <v>6</v>
      </c>
      <c r="F1" s="1" t="s">
        <v>7</v>
      </c>
    </row>
    <row r="2" spans="1:6" ht="15.75" customHeight="1">
      <c r="A2" s="1" t="s">
        <v>8</v>
      </c>
      <c r="B2" s="1" t="s">
        <v>244</v>
      </c>
      <c r="E2" s="1" t="b">
        <v>0</v>
      </c>
      <c r="F2" s="1" t="s">
        <v>18</v>
      </c>
    </row>
    <row r="3" spans="1:6" ht="15.75" customHeight="1">
      <c r="A3" s="1" t="s">
        <v>8</v>
      </c>
      <c r="B3" s="1" t="s">
        <v>8</v>
      </c>
      <c r="C3" s="1" t="s">
        <v>245</v>
      </c>
      <c r="D3" s="1" t="s">
        <v>246</v>
      </c>
      <c r="E3" s="1" t="b">
        <v>1</v>
      </c>
      <c r="F3" s="1" t="s">
        <v>18</v>
      </c>
    </row>
    <row r="4" spans="1:6" ht="15.75" customHeight="1">
      <c r="A4" s="1" t="s">
        <v>8</v>
      </c>
      <c r="D4" s="1" t="s">
        <v>247</v>
      </c>
      <c r="E4" s="1" t="b">
        <v>0</v>
      </c>
      <c r="F4" s="1" t="s">
        <v>12</v>
      </c>
    </row>
    <row r="5" spans="1:6" ht="15.75" customHeight="1">
      <c r="A5" s="1" t="s">
        <v>8</v>
      </c>
      <c r="B5" s="1" t="s">
        <v>8</v>
      </c>
      <c r="C5" s="1" t="s">
        <v>248</v>
      </c>
      <c r="D5" s="1" t="s">
        <v>249</v>
      </c>
      <c r="E5" s="1" t="b">
        <v>1</v>
      </c>
      <c r="F5" s="1" t="s">
        <v>18</v>
      </c>
    </row>
    <row r="6" spans="1:6" ht="15.75" customHeight="1">
      <c r="A6" s="1" t="s">
        <v>8</v>
      </c>
      <c r="D6" s="1" t="s">
        <v>250</v>
      </c>
      <c r="E6" s="1" t="b">
        <v>0</v>
      </c>
      <c r="F6" s="1" t="s">
        <v>18</v>
      </c>
    </row>
    <row r="7" spans="1:6" ht="15.75" customHeight="1">
      <c r="A7" s="1" t="s">
        <v>8</v>
      </c>
      <c r="B7" s="1" t="s">
        <v>8</v>
      </c>
      <c r="C7" s="1" t="s">
        <v>251</v>
      </c>
      <c r="D7" s="4" t="s">
        <v>252</v>
      </c>
      <c r="E7" s="1" t="b">
        <v>1</v>
      </c>
      <c r="F7" s="1" t="s">
        <v>12</v>
      </c>
    </row>
    <row r="8" spans="1:6" ht="15.75" customHeight="1">
      <c r="A8" s="1" t="s">
        <v>8</v>
      </c>
      <c r="D8" s="1" t="s">
        <v>250</v>
      </c>
      <c r="E8" s="1" t="b">
        <v>0</v>
      </c>
      <c r="F8" s="1" t="s">
        <v>18</v>
      </c>
    </row>
    <row r="9" spans="1:6" ht="15.75" customHeight="1">
      <c r="A9" s="1" t="s">
        <v>8</v>
      </c>
      <c r="B9" s="1" t="s">
        <v>8</v>
      </c>
      <c r="D9" s="4" t="s">
        <v>253</v>
      </c>
      <c r="E9" s="1" t="b">
        <v>0</v>
      </c>
      <c r="F9" s="1" t="s">
        <v>18</v>
      </c>
    </row>
    <row r="10" spans="1:6" ht="15.75" customHeight="1">
      <c r="A10" s="1" t="s">
        <v>8</v>
      </c>
      <c r="B10" s="1" t="s">
        <v>8</v>
      </c>
      <c r="C10" s="4" t="s">
        <v>253</v>
      </c>
      <c r="E10" s="1" t="b">
        <v>0</v>
      </c>
      <c r="F10" s="1" t="s">
        <v>12</v>
      </c>
    </row>
    <row r="11" spans="1:6" ht="15.75" customHeight="1">
      <c r="A11" s="1" t="s">
        <v>8</v>
      </c>
      <c r="B11" s="1" t="s">
        <v>8</v>
      </c>
      <c r="C11" s="1" t="s">
        <v>254</v>
      </c>
      <c r="E11" s="1" t="b">
        <v>0</v>
      </c>
      <c r="F11" s="1" t="s">
        <v>18</v>
      </c>
    </row>
    <row r="12" spans="1:6" ht="15.75" customHeight="1">
      <c r="A12" s="1" t="s">
        <v>8</v>
      </c>
      <c r="B12" s="1" t="s">
        <v>83</v>
      </c>
      <c r="E12" s="1" t="b">
        <v>0</v>
      </c>
      <c r="F12" s="1" t="s">
        <v>18</v>
      </c>
    </row>
    <row r="13" spans="1:6" ht="15.75" customHeight="1">
      <c r="A13" s="1" t="s">
        <v>21</v>
      </c>
      <c r="B13" s="1" t="s">
        <v>38</v>
      </c>
      <c r="E13" s="1" t="s">
        <v>23</v>
      </c>
      <c r="F13" s="1" t="s">
        <v>12</v>
      </c>
    </row>
    <row r="14" spans="1:6" ht="15.75" customHeight="1">
      <c r="A14" s="1" t="s">
        <v>21</v>
      </c>
      <c r="B14" s="1" t="s">
        <v>124</v>
      </c>
      <c r="E14" s="1" t="s">
        <v>23</v>
      </c>
      <c r="F14" s="1" t="s">
        <v>12</v>
      </c>
    </row>
    <row r="15" spans="1:6" ht="15.75" customHeight="1">
      <c r="A15" s="1" t="s">
        <v>26</v>
      </c>
      <c r="B15" s="1" t="s">
        <v>8</v>
      </c>
      <c r="C15" s="4" t="s">
        <v>255</v>
      </c>
      <c r="D15" s="1">
        <v>31</v>
      </c>
      <c r="E15" s="1" t="b">
        <v>1</v>
      </c>
      <c r="F15" s="1" t="s">
        <v>12</v>
      </c>
    </row>
    <row r="16" spans="1:6" ht="15.75" customHeight="1">
      <c r="A16" s="1" t="s">
        <v>26</v>
      </c>
      <c r="B16" s="1" t="s">
        <v>8</v>
      </c>
      <c r="C16" s="4" t="s">
        <v>256</v>
      </c>
      <c r="D16" s="1">
        <v>31</v>
      </c>
      <c r="E16" s="1" t="b">
        <v>0</v>
      </c>
      <c r="F16" s="1" t="s">
        <v>18</v>
      </c>
    </row>
    <row r="17" spans="1:6" ht="15.75" customHeight="1">
      <c r="A17" s="1" t="s">
        <v>26</v>
      </c>
      <c r="B17" s="1" t="s">
        <v>8</v>
      </c>
      <c r="C17" s="4" t="s">
        <v>256</v>
      </c>
      <c r="D17" s="1">
        <v>30</v>
      </c>
      <c r="E17" s="1" t="b">
        <v>1</v>
      </c>
      <c r="F17" s="1" t="s">
        <v>12</v>
      </c>
    </row>
    <row r="18" spans="1:6" ht="15.75" customHeight="1">
      <c r="A18" s="1" t="s">
        <v>26</v>
      </c>
      <c r="B18" s="1" t="s">
        <v>8</v>
      </c>
      <c r="C18" s="4" t="s">
        <v>257</v>
      </c>
      <c r="D18" s="1">
        <v>31</v>
      </c>
      <c r="E18" s="1" t="b">
        <v>0</v>
      </c>
      <c r="F18" s="1" t="s">
        <v>12</v>
      </c>
    </row>
    <row r="19" spans="1:6" ht="15.75" customHeight="1">
      <c r="A19" s="1" t="s">
        <v>26</v>
      </c>
      <c r="B19" s="1" t="s">
        <v>8</v>
      </c>
      <c r="C19" s="4" t="s">
        <v>257</v>
      </c>
      <c r="D19" s="1">
        <v>30</v>
      </c>
      <c r="E19" s="1" t="b">
        <v>0</v>
      </c>
      <c r="F19" s="1" t="s">
        <v>12</v>
      </c>
    </row>
    <row r="20" spans="1:6" ht="15.75" customHeight="1">
      <c r="A20" s="1" t="s">
        <v>26</v>
      </c>
      <c r="B20" s="1" t="s">
        <v>8</v>
      </c>
      <c r="C20" s="4" t="s">
        <v>257</v>
      </c>
      <c r="D20" s="1">
        <v>29</v>
      </c>
      <c r="E20" s="1" t="b">
        <v>1</v>
      </c>
      <c r="F20" s="1" t="s">
        <v>12</v>
      </c>
    </row>
    <row r="21" spans="1:6" ht="15.75" customHeight="1">
      <c r="F21" s="2">
        <f>COUNTIF(F2:F20, "Yes")/COUNTA(F2:F20)</f>
        <v>0.47368421052631576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2"/>
  <sheetViews>
    <sheetView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6</v>
      </c>
      <c r="G1" s="1" t="s">
        <v>262</v>
      </c>
    </row>
    <row r="2" spans="1:7" ht="15.75" customHeight="1">
      <c r="A2" s="1" t="s">
        <v>26</v>
      </c>
      <c r="B2" s="1" t="s">
        <v>263</v>
      </c>
      <c r="C2" s="1">
        <v>1</v>
      </c>
      <c r="D2" s="1" t="s">
        <v>263</v>
      </c>
      <c r="E2" s="1" t="s">
        <v>264</v>
      </c>
      <c r="F2" s="1" t="s">
        <v>265</v>
      </c>
      <c r="G2" s="1" t="s">
        <v>18</v>
      </c>
    </row>
    <row r="3" spans="1:7" ht="15.75" customHeight="1">
      <c r="A3" s="1" t="s">
        <v>8</v>
      </c>
      <c r="B3" s="1" t="s">
        <v>146</v>
      </c>
      <c r="C3" s="1">
        <v>2</v>
      </c>
      <c r="D3" s="1" t="s">
        <v>263</v>
      </c>
      <c r="E3" s="1" t="s">
        <v>266</v>
      </c>
      <c r="F3" s="1" t="s">
        <v>267</v>
      </c>
      <c r="G3" s="1" t="s">
        <v>12</v>
      </c>
    </row>
    <row r="4" spans="1:7" ht="15.75" customHeight="1">
      <c r="A4" s="1" t="s">
        <v>8</v>
      </c>
      <c r="B4" s="1" t="s">
        <v>188</v>
      </c>
      <c r="C4" s="1" t="s">
        <v>154</v>
      </c>
      <c r="D4" s="1" t="s">
        <v>268</v>
      </c>
      <c r="E4" s="1" t="s">
        <v>269</v>
      </c>
      <c r="F4" s="1" t="s">
        <v>270</v>
      </c>
      <c r="G4" s="1" t="s">
        <v>18</v>
      </c>
    </row>
    <row r="5" spans="1:7" ht="15.75" customHeight="1">
      <c r="A5" s="1" t="s">
        <v>8</v>
      </c>
      <c r="B5" s="1" t="s">
        <v>263</v>
      </c>
      <c r="C5" s="1" t="s">
        <v>154</v>
      </c>
      <c r="D5" s="1" t="s">
        <v>263</v>
      </c>
      <c r="E5" s="1" t="s">
        <v>269</v>
      </c>
      <c r="F5" s="1" t="s">
        <v>271</v>
      </c>
      <c r="G5" s="1" t="s">
        <v>18</v>
      </c>
    </row>
    <row r="6" spans="1:7" ht="15.75" customHeight="1">
      <c r="A6" s="1" t="s">
        <v>8</v>
      </c>
      <c r="B6" s="1" t="s">
        <v>263</v>
      </c>
      <c r="C6" s="1" t="s">
        <v>272</v>
      </c>
      <c r="D6" s="1" t="s">
        <v>263</v>
      </c>
      <c r="E6" s="1" t="s">
        <v>273</v>
      </c>
      <c r="F6" s="1" t="s">
        <v>271</v>
      </c>
      <c r="G6" s="1" t="s">
        <v>18</v>
      </c>
    </row>
    <row r="7" spans="1:7" ht="15.75" customHeight="1">
      <c r="A7" s="1" t="s">
        <v>21</v>
      </c>
      <c r="B7" s="1" t="s">
        <v>274</v>
      </c>
      <c r="F7" s="1" t="s">
        <v>23</v>
      </c>
      <c r="G7" s="1" t="s">
        <v>12</v>
      </c>
    </row>
    <row r="8" spans="1:7" ht="15.75" customHeight="1">
      <c r="A8" s="1" t="s">
        <v>21</v>
      </c>
      <c r="B8" s="1" t="s">
        <v>275</v>
      </c>
      <c r="F8" s="1" t="s">
        <v>23</v>
      </c>
      <c r="G8" s="1" t="s">
        <v>12</v>
      </c>
    </row>
    <row r="9" spans="1:7" ht="15.75" customHeight="1">
      <c r="A9" s="1" t="s">
        <v>21</v>
      </c>
      <c r="B9" s="1" t="s">
        <v>8</v>
      </c>
      <c r="C9" s="1" t="s">
        <v>276</v>
      </c>
      <c r="F9" s="1" t="s">
        <v>23</v>
      </c>
      <c r="G9" s="1" t="s">
        <v>12</v>
      </c>
    </row>
    <row r="10" spans="1:7" ht="15.75" customHeight="1">
      <c r="A10" s="1" t="s">
        <v>21</v>
      </c>
      <c r="B10" s="1" t="s">
        <v>277</v>
      </c>
      <c r="F10" s="1" t="s">
        <v>23</v>
      </c>
      <c r="G10" s="1" t="s">
        <v>12</v>
      </c>
    </row>
    <row r="11" spans="1:7" ht="15.75" customHeight="1">
      <c r="A11" s="1" t="s">
        <v>21</v>
      </c>
      <c r="B11" s="1" t="s">
        <v>278</v>
      </c>
      <c r="F11" s="1" t="s">
        <v>23</v>
      </c>
      <c r="G11" s="1" t="s">
        <v>12</v>
      </c>
    </row>
    <row r="12" spans="1:7" ht="15.75" customHeight="1">
      <c r="G12" s="2">
        <f>COUNTIF(G2:G11, "Yes")/COUNTA(G2:G11)</f>
        <v>0.4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E9"/>
  <sheetViews>
    <sheetView workbookViewId="0"/>
  </sheetViews>
  <sheetFormatPr defaultColWidth="12.7109375" defaultRowHeight="15.75" customHeight="1"/>
  <sheetData>
    <row r="1" spans="1:5" ht="15.75" customHeight="1">
      <c r="A1" s="1" t="s">
        <v>0</v>
      </c>
      <c r="B1" s="1" t="s">
        <v>279</v>
      </c>
      <c r="C1" s="1" t="s">
        <v>280</v>
      </c>
      <c r="D1" s="1" t="s">
        <v>6</v>
      </c>
      <c r="E1" s="1" t="s">
        <v>262</v>
      </c>
    </row>
    <row r="2" spans="1:5" ht="15.75" customHeight="1">
      <c r="A2" s="1" t="s">
        <v>8</v>
      </c>
      <c r="B2" s="1">
        <v>0</v>
      </c>
      <c r="C2" s="1" t="s">
        <v>9</v>
      </c>
      <c r="D2" s="1" t="s">
        <v>281</v>
      </c>
      <c r="E2" s="1" t="s">
        <v>18</v>
      </c>
    </row>
    <row r="3" spans="1:5" ht="15.75" customHeight="1">
      <c r="A3" s="1" t="s">
        <v>8</v>
      </c>
      <c r="B3" s="1">
        <v>1</v>
      </c>
      <c r="C3" s="1" t="s">
        <v>263</v>
      </c>
      <c r="D3" s="1" t="s">
        <v>282</v>
      </c>
      <c r="E3" s="1" t="s">
        <v>12</v>
      </c>
    </row>
    <row r="4" spans="1:5" ht="15.75" customHeight="1">
      <c r="A4" s="1" t="s">
        <v>26</v>
      </c>
      <c r="B4" s="1">
        <v>2</v>
      </c>
      <c r="C4" s="1" t="s">
        <v>263</v>
      </c>
      <c r="D4" s="1" t="s">
        <v>282</v>
      </c>
      <c r="E4" s="1" t="s">
        <v>18</v>
      </c>
    </row>
    <row r="5" spans="1:5" ht="15.75" customHeight="1">
      <c r="A5" s="1" t="s">
        <v>8</v>
      </c>
      <c r="B5" s="1" t="s">
        <v>154</v>
      </c>
      <c r="C5" s="1" t="s">
        <v>283</v>
      </c>
      <c r="D5" s="1" t="s">
        <v>282</v>
      </c>
      <c r="E5" s="1" t="s">
        <v>18</v>
      </c>
    </row>
    <row r="6" spans="1:5" ht="15.75" customHeight="1">
      <c r="A6" s="1" t="s">
        <v>8</v>
      </c>
      <c r="B6" s="1" t="s">
        <v>154</v>
      </c>
      <c r="C6" s="1" t="s">
        <v>284</v>
      </c>
      <c r="D6" s="1" t="s">
        <v>285</v>
      </c>
      <c r="E6" s="1" t="s">
        <v>18</v>
      </c>
    </row>
    <row r="7" spans="1:5" ht="15.75" customHeight="1">
      <c r="A7" s="1" t="s">
        <v>8</v>
      </c>
      <c r="B7" s="1" t="s">
        <v>154</v>
      </c>
      <c r="C7" s="1" t="s">
        <v>286</v>
      </c>
      <c r="D7" s="1" t="s">
        <v>287</v>
      </c>
      <c r="E7" s="1" t="s">
        <v>18</v>
      </c>
    </row>
    <row r="8" spans="1:5" ht="15.75" customHeight="1">
      <c r="A8" s="1" t="s">
        <v>21</v>
      </c>
      <c r="B8" s="1" t="s">
        <v>288</v>
      </c>
      <c r="D8" s="1" t="s">
        <v>23</v>
      </c>
      <c r="E8" s="1" t="s">
        <v>12</v>
      </c>
    </row>
    <row r="9" spans="1:5" ht="15.75" customHeight="1">
      <c r="E9" s="2">
        <f>COUNTIF(E2:E8, "Yes")/COUNTA(E2:E8)</f>
        <v>0.7142857142857143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13"/>
  <sheetViews>
    <sheetView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289</v>
      </c>
      <c r="C1" s="1" t="s">
        <v>290</v>
      </c>
      <c r="D1" s="1" t="s">
        <v>118</v>
      </c>
      <c r="E1" s="1" t="s">
        <v>291</v>
      </c>
      <c r="F1" s="1" t="s">
        <v>6</v>
      </c>
      <c r="G1" s="1" t="s">
        <v>262</v>
      </c>
    </row>
    <row r="2" spans="1:7" ht="15.75" customHeight="1">
      <c r="A2" s="1" t="s">
        <v>8</v>
      </c>
      <c r="B2" s="1" t="s">
        <v>292</v>
      </c>
      <c r="C2" s="1">
        <v>1</v>
      </c>
      <c r="D2" s="1" t="s">
        <v>8</v>
      </c>
      <c r="E2" s="1" t="s">
        <v>8</v>
      </c>
      <c r="F2" s="1" t="s">
        <v>18</v>
      </c>
      <c r="G2" s="1" t="s">
        <v>18</v>
      </c>
    </row>
    <row r="3" spans="1:7" ht="15.75" customHeight="1">
      <c r="A3" s="1" t="s">
        <v>8</v>
      </c>
      <c r="B3" s="1" t="s">
        <v>293</v>
      </c>
      <c r="C3" s="1">
        <v>1</v>
      </c>
      <c r="D3" s="1" t="s">
        <v>8</v>
      </c>
      <c r="E3" s="1" t="s">
        <v>8</v>
      </c>
      <c r="F3" s="1" t="s">
        <v>12</v>
      </c>
      <c r="G3" s="1" t="s">
        <v>18</v>
      </c>
    </row>
    <row r="4" spans="1:7" ht="15.75" customHeight="1">
      <c r="A4" s="1" t="s">
        <v>26</v>
      </c>
      <c r="B4" s="1" t="s">
        <v>292</v>
      </c>
      <c r="C4" s="1">
        <v>0</v>
      </c>
      <c r="D4" s="1" t="s">
        <v>9</v>
      </c>
      <c r="E4" s="1" t="s">
        <v>9</v>
      </c>
      <c r="F4" s="1" t="s">
        <v>12</v>
      </c>
      <c r="G4" s="1" t="s">
        <v>18</v>
      </c>
    </row>
    <row r="5" spans="1:7" ht="15.75" customHeight="1">
      <c r="A5" s="1" t="s">
        <v>8</v>
      </c>
      <c r="B5" s="1" t="s">
        <v>292</v>
      </c>
      <c r="C5" s="1" t="s">
        <v>294</v>
      </c>
      <c r="D5" s="1" t="s">
        <v>9</v>
      </c>
      <c r="E5" s="1" t="s">
        <v>9</v>
      </c>
      <c r="F5" s="1" t="s">
        <v>12</v>
      </c>
      <c r="G5" s="1" t="s">
        <v>18</v>
      </c>
    </row>
    <row r="6" spans="1:7" ht="15.75" customHeight="1">
      <c r="A6" s="1" t="s">
        <v>8</v>
      </c>
      <c r="B6" s="1" t="s">
        <v>292</v>
      </c>
      <c r="C6" s="1">
        <v>1</v>
      </c>
      <c r="D6" s="1" t="s">
        <v>31</v>
      </c>
      <c r="E6" s="1" t="s">
        <v>8</v>
      </c>
      <c r="F6" s="1" t="s">
        <v>12</v>
      </c>
      <c r="G6" s="1" t="s">
        <v>12</v>
      </c>
    </row>
    <row r="7" spans="1:7" ht="15.75" customHeight="1">
      <c r="A7" s="1" t="s">
        <v>8</v>
      </c>
      <c r="B7" s="1" t="s">
        <v>292</v>
      </c>
      <c r="C7" s="1">
        <v>1</v>
      </c>
      <c r="D7" s="1" t="s">
        <v>295</v>
      </c>
      <c r="E7" s="1" t="s">
        <v>8</v>
      </c>
      <c r="F7" s="1" t="s">
        <v>12</v>
      </c>
      <c r="G7" s="1" t="s">
        <v>18</v>
      </c>
    </row>
    <row r="8" spans="1:7" ht="15.75" customHeight="1">
      <c r="A8" s="1" t="s">
        <v>8</v>
      </c>
      <c r="B8" s="1" t="s">
        <v>292</v>
      </c>
      <c r="C8" s="1">
        <v>1</v>
      </c>
      <c r="D8" s="1" t="s">
        <v>8</v>
      </c>
      <c r="E8" s="1" t="s">
        <v>31</v>
      </c>
      <c r="F8" s="1" t="s">
        <v>12</v>
      </c>
      <c r="G8" s="1" t="s">
        <v>18</v>
      </c>
    </row>
    <row r="9" spans="1:7" ht="15.75" customHeight="1">
      <c r="A9" s="1" t="s">
        <v>8</v>
      </c>
      <c r="B9" s="1" t="s">
        <v>292</v>
      </c>
      <c r="C9" s="1">
        <v>1</v>
      </c>
      <c r="D9" s="1" t="s">
        <v>8</v>
      </c>
      <c r="E9" s="1" t="s">
        <v>21</v>
      </c>
      <c r="F9" s="1" t="s">
        <v>12</v>
      </c>
      <c r="G9" s="1" t="s">
        <v>18</v>
      </c>
    </row>
    <row r="10" spans="1:7" ht="15.75" customHeight="1">
      <c r="A10" s="1" t="s">
        <v>8</v>
      </c>
      <c r="B10" s="1" t="s">
        <v>292</v>
      </c>
      <c r="C10" s="1">
        <v>1</v>
      </c>
      <c r="D10" s="1" t="s">
        <v>8</v>
      </c>
      <c r="E10" s="1" t="s">
        <v>296</v>
      </c>
      <c r="F10" s="1" t="s">
        <v>12</v>
      </c>
      <c r="G10" s="1" t="s">
        <v>12</v>
      </c>
    </row>
    <row r="11" spans="1:7" ht="15.75" customHeight="1">
      <c r="A11" s="1" t="s">
        <v>26</v>
      </c>
      <c r="B11" s="1" t="s">
        <v>292</v>
      </c>
      <c r="C11" s="1">
        <v>1</v>
      </c>
      <c r="D11" s="1" t="s">
        <v>297</v>
      </c>
      <c r="E11" s="1" t="s">
        <v>8</v>
      </c>
      <c r="F11" s="1" t="s">
        <v>18</v>
      </c>
      <c r="G11" s="1" t="s">
        <v>18</v>
      </c>
    </row>
    <row r="12" spans="1:7" ht="15.75" customHeight="1">
      <c r="A12" s="1" t="s">
        <v>21</v>
      </c>
      <c r="B12" s="1" t="s">
        <v>288</v>
      </c>
      <c r="F12" s="1" t="s">
        <v>23</v>
      </c>
      <c r="G12" s="1" t="s">
        <v>12</v>
      </c>
    </row>
    <row r="13" spans="1:7" ht="15.75" customHeight="1">
      <c r="G13" s="2">
        <f>COUNTIF(G2:G12,"Yes")/COUNTA(G2:G12)</f>
        <v>0.72727272727272729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18"/>
  <sheetViews>
    <sheetView workbookViewId="0"/>
  </sheetViews>
  <sheetFormatPr defaultColWidth="12.7109375" defaultRowHeight="15.75" customHeight="1"/>
  <sheetData>
    <row r="1" spans="1:4" ht="15.75" customHeight="1">
      <c r="A1" s="1" t="s">
        <v>0</v>
      </c>
      <c r="B1" s="1" t="s">
        <v>298</v>
      </c>
      <c r="C1" s="1" t="s">
        <v>6</v>
      </c>
      <c r="D1" s="1" t="s">
        <v>262</v>
      </c>
    </row>
    <row r="2" spans="1:4" ht="15.75" customHeight="1">
      <c r="A2" s="1" t="s">
        <v>8</v>
      </c>
      <c r="B2" s="5">
        <v>46082</v>
      </c>
      <c r="C2" s="1" t="s">
        <v>299</v>
      </c>
      <c r="D2" s="1" t="s">
        <v>18</v>
      </c>
    </row>
    <row r="3" spans="1:4" ht="15.75" customHeight="1">
      <c r="A3" s="1" t="s">
        <v>26</v>
      </c>
      <c r="B3" s="1">
        <v>4</v>
      </c>
      <c r="C3" s="1" t="s">
        <v>300</v>
      </c>
      <c r="D3" s="1" t="s">
        <v>18</v>
      </c>
    </row>
    <row r="4" spans="1:4" ht="15.75" customHeight="1">
      <c r="A4" s="1" t="s">
        <v>8</v>
      </c>
      <c r="B4" s="5">
        <v>46239</v>
      </c>
      <c r="C4" s="1" t="s">
        <v>301</v>
      </c>
      <c r="D4" s="1" t="s">
        <v>12</v>
      </c>
    </row>
    <row r="5" spans="1:4" ht="15.75" customHeight="1">
      <c r="A5" s="1" t="s">
        <v>26</v>
      </c>
      <c r="B5" s="1">
        <v>9</v>
      </c>
      <c r="C5" s="1" t="s">
        <v>302</v>
      </c>
      <c r="D5" s="1" t="s">
        <v>12</v>
      </c>
    </row>
    <row r="6" spans="1:4" ht="15.75" customHeight="1">
      <c r="A6" s="1" t="s">
        <v>8</v>
      </c>
      <c r="B6" s="1" t="s">
        <v>303</v>
      </c>
      <c r="C6" s="1" t="s">
        <v>304</v>
      </c>
      <c r="D6" s="1" t="s">
        <v>18</v>
      </c>
    </row>
    <row r="7" spans="1:4" ht="15.75" customHeight="1">
      <c r="A7" s="1" t="s">
        <v>8</v>
      </c>
      <c r="B7" s="1" t="s">
        <v>305</v>
      </c>
      <c r="C7" s="1" t="s">
        <v>306</v>
      </c>
      <c r="D7" s="1" t="s">
        <v>18</v>
      </c>
    </row>
    <row r="8" spans="1:4" ht="15.75" customHeight="1">
      <c r="A8" s="1" t="s">
        <v>8</v>
      </c>
      <c r="B8" s="1" t="s">
        <v>307</v>
      </c>
      <c r="C8" s="1" t="s">
        <v>308</v>
      </c>
      <c r="D8" s="1" t="s">
        <v>12</v>
      </c>
    </row>
    <row r="9" spans="1:4" ht="15.75" customHeight="1">
      <c r="A9" s="1" t="s">
        <v>8</v>
      </c>
      <c r="B9" s="1" t="s">
        <v>309</v>
      </c>
      <c r="C9" s="1" t="s">
        <v>310</v>
      </c>
      <c r="D9" s="1" t="s">
        <v>18</v>
      </c>
    </row>
    <row r="10" spans="1:4" ht="15.75" customHeight="1">
      <c r="A10" s="1" t="s">
        <v>8</v>
      </c>
      <c r="B10" s="1" t="s">
        <v>311</v>
      </c>
      <c r="C10" s="1" t="s">
        <v>312</v>
      </c>
      <c r="D10" s="1" t="s">
        <v>18</v>
      </c>
    </row>
    <row r="11" spans="1:4" ht="15.75" customHeight="1">
      <c r="A11" s="1" t="s">
        <v>8</v>
      </c>
      <c r="B11" s="1" t="s">
        <v>313</v>
      </c>
      <c r="C11" s="1" t="s">
        <v>314</v>
      </c>
      <c r="D11" s="1" t="s">
        <v>18</v>
      </c>
    </row>
    <row r="12" spans="1:4" ht="15.75" customHeight="1">
      <c r="A12" s="1" t="s">
        <v>8</v>
      </c>
      <c r="B12" s="1" t="s">
        <v>315</v>
      </c>
      <c r="C12" s="1" t="s">
        <v>316</v>
      </c>
      <c r="D12" s="1" t="s">
        <v>18</v>
      </c>
    </row>
    <row r="13" spans="1:4" ht="15.75" customHeight="1">
      <c r="A13" s="1" t="s">
        <v>8</v>
      </c>
      <c r="B13" s="1" t="s">
        <v>317</v>
      </c>
      <c r="C13" s="1" t="s">
        <v>318</v>
      </c>
      <c r="D13" s="1" t="s">
        <v>18</v>
      </c>
    </row>
    <row r="14" spans="1:4" ht="15.75" customHeight="1">
      <c r="A14" s="1" t="s">
        <v>26</v>
      </c>
      <c r="B14" s="1">
        <v>1000</v>
      </c>
      <c r="C14" s="1" t="s">
        <v>319</v>
      </c>
      <c r="D14" s="1" t="s">
        <v>18</v>
      </c>
    </row>
    <row r="15" spans="1:4" ht="15.75" customHeight="1">
      <c r="A15" s="1" t="s">
        <v>21</v>
      </c>
      <c r="B15" s="1" t="s">
        <v>320</v>
      </c>
      <c r="C15" s="1" t="s">
        <v>23</v>
      </c>
      <c r="D15" s="1" t="s">
        <v>12</v>
      </c>
    </row>
    <row r="16" spans="1:4" ht="15.75" customHeight="1">
      <c r="A16" s="1" t="s">
        <v>21</v>
      </c>
      <c r="B16" s="1" t="s">
        <v>321</v>
      </c>
      <c r="C16" s="1" t="s">
        <v>23</v>
      </c>
      <c r="D16" s="1" t="s">
        <v>12</v>
      </c>
    </row>
    <row r="17" spans="1:4" ht="15.75" customHeight="1">
      <c r="A17" s="1" t="s">
        <v>21</v>
      </c>
      <c r="B17" s="1" t="s">
        <v>47</v>
      </c>
      <c r="C17" s="1" t="s">
        <v>23</v>
      </c>
      <c r="D17" s="1" t="s">
        <v>12</v>
      </c>
    </row>
    <row r="18" spans="1:4" ht="15.75" customHeight="1">
      <c r="D18" s="2">
        <f>COUNTIF(D2:D17,"Yes")/COUNTA(D2:D17)</f>
        <v>0.625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E18"/>
  <sheetViews>
    <sheetView workbookViewId="0"/>
  </sheetViews>
  <sheetFormatPr defaultColWidth="12.7109375" defaultRowHeight="15.75" customHeight="1"/>
  <sheetData>
    <row r="1" spans="1:5" ht="15.75" customHeight="1">
      <c r="A1" s="1" t="s">
        <v>0</v>
      </c>
      <c r="B1" s="1" t="s">
        <v>322</v>
      </c>
      <c r="C1" s="1" t="s">
        <v>323</v>
      </c>
      <c r="D1" s="1" t="s">
        <v>6</v>
      </c>
      <c r="E1" s="1" t="s">
        <v>262</v>
      </c>
    </row>
    <row r="2" spans="1:5" ht="15.75" customHeight="1">
      <c r="A2" s="1" t="s">
        <v>8</v>
      </c>
      <c r="B2" s="1" t="s">
        <v>324</v>
      </c>
      <c r="C2" s="1" t="s">
        <v>154</v>
      </c>
      <c r="D2" s="1" t="s">
        <v>325</v>
      </c>
      <c r="E2" s="1" t="s">
        <v>12</v>
      </c>
    </row>
    <row r="3" spans="1:5" ht="15.75" customHeight="1">
      <c r="A3" s="1" t="s">
        <v>8</v>
      </c>
      <c r="B3" s="1" t="s">
        <v>326</v>
      </c>
      <c r="C3" s="1" t="s">
        <v>154</v>
      </c>
      <c r="D3" s="1" t="s">
        <v>327</v>
      </c>
      <c r="E3" s="1" t="s">
        <v>12</v>
      </c>
    </row>
    <row r="4" spans="1:5" ht="15.75" customHeight="1">
      <c r="A4" s="1" t="s">
        <v>8</v>
      </c>
      <c r="B4" s="1" t="s">
        <v>328</v>
      </c>
      <c r="C4" s="1" t="s">
        <v>154</v>
      </c>
      <c r="D4" s="1" t="s">
        <v>329</v>
      </c>
      <c r="E4" s="1" t="s">
        <v>12</v>
      </c>
    </row>
    <row r="5" spans="1:5" ht="15.75" customHeight="1">
      <c r="A5" s="1" t="s">
        <v>8</v>
      </c>
      <c r="B5" s="1" t="s">
        <v>330</v>
      </c>
      <c r="C5" s="1" t="s">
        <v>154</v>
      </c>
      <c r="D5" s="1" t="s">
        <v>331</v>
      </c>
      <c r="E5" s="1" t="s">
        <v>12</v>
      </c>
    </row>
    <row r="6" spans="1:5" ht="15.75" customHeight="1">
      <c r="A6" s="1" t="s">
        <v>8</v>
      </c>
      <c r="B6" s="1" t="s">
        <v>332</v>
      </c>
      <c r="C6" s="1" t="s">
        <v>154</v>
      </c>
      <c r="D6" s="1" t="s">
        <v>333</v>
      </c>
      <c r="E6" s="1" t="s">
        <v>12</v>
      </c>
    </row>
    <row r="7" spans="1:5" ht="15.75" customHeight="1">
      <c r="A7" s="1" t="s">
        <v>8</v>
      </c>
      <c r="B7" s="4" t="s">
        <v>334</v>
      </c>
      <c r="C7" s="1" t="s">
        <v>154</v>
      </c>
      <c r="D7" s="1" t="s">
        <v>335</v>
      </c>
      <c r="E7" s="1" t="s">
        <v>12</v>
      </c>
    </row>
    <row r="8" spans="1:5" ht="15.75" customHeight="1">
      <c r="A8" s="1" t="s">
        <v>8</v>
      </c>
      <c r="B8" s="1" t="s">
        <v>336</v>
      </c>
      <c r="C8" s="1" t="s">
        <v>154</v>
      </c>
      <c r="D8" s="1" t="s">
        <v>337</v>
      </c>
      <c r="E8" s="1" t="s">
        <v>18</v>
      </c>
    </row>
    <row r="9" spans="1:5" ht="15.75" customHeight="1">
      <c r="A9" s="1" t="s">
        <v>8</v>
      </c>
      <c r="B9" s="1" t="s">
        <v>338</v>
      </c>
      <c r="C9" s="1" t="s">
        <v>154</v>
      </c>
      <c r="D9" s="1" t="s">
        <v>339</v>
      </c>
      <c r="E9" s="1" t="s">
        <v>12</v>
      </c>
    </row>
    <row r="10" spans="1:5" ht="15.75" customHeight="1">
      <c r="A10" s="1" t="s">
        <v>8</v>
      </c>
      <c r="B10" s="1" t="s">
        <v>340</v>
      </c>
      <c r="C10" s="1" t="s">
        <v>154</v>
      </c>
      <c r="D10" s="1" t="s">
        <v>341</v>
      </c>
      <c r="E10" s="1" t="s">
        <v>18</v>
      </c>
    </row>
    <row r="11" spans="1:5" ht="15.75" customHeight="1">
      <c r="A11" s="1" t="s">
        <v>8</v>
      </c>
      <c r="B11" s="1" t="s">
        <v>342</v>
      </c>
      <c r="C11" s="1" t="s">
        <v>154</v>
      </c>
      <c r="D11" s="1" t="s">
        <v>343</v>
      </c>
      <c r="E11" s="1" t="s">
        <v>12</v>
      </c>
    </row>
    <row r="12" spans="1:5" ht="15.75" customHeight="1">
      <c r="A12" s="1" t="s">
        <v>8</v>
      </c>
      <c r="B12" s="1" t="s">
        <v>344</v>
      </c>
      <c r="C12" s="1" t="s">
        <v>154</v>
      </c>
      <c r="D12" s="1" t="s">
        <v>345</v>
      </c>
      <c r="E12" s="1" t="s">
        <v>12</v>
      </c>
    </row>
    <row r="13" spans="1:5" ht="15.75" customHeight="1">
      <c r="A13" s="1" t="s">
        <v>26</v>
      </c>
      <c r="B13" s="1" t="s">
        <v>263</v>
      </c>
      <c r="C13" s="1">
        <v>2</v>
      </c>
      <c r="D13" s="1" t="s">
        <v>345</v>
      </c>
      <c r="E13" s="1" t="s">
        <v>12</v>
      </c>
    </row>
    <row r="14" spans="1:5" ht="15.75" customHeight="1">
      <c r="A14" s="1" t="s">
        <v>21</v>
      </c>
      <c r="B14" s="1" t="s">
        <v>9</v>
      </c>
      <c r="C14" s="1">
        <v>1</v>
      </c>
      <c r="D14" s="1" t="s">
        <v>23</v>
      </c>
      <c r="E14" s="1" t="s">
        <v>12</v>
      </c>
    </row>
    <row r="15" spans="1:5" ht="15.75" customHeight="1">
      <c r="A15" s="1" t="s">
        <v>21</v>
      </c>
      <c r="B15" s="1" t="s">
        <v>263</v>
      </c>
      <c r="C15" s="1">
        <v>0</v>
      </c>
      <c r="D15" s="1" t="s">
        <v>23</v>
      </c>
      <c r="E15" s="1" t="s">
        <v>12</v>
      </c>
    </row>
    <row r="16" spans="1:5" ht="15.75" customHeight="1">
      <c r="A16" s="1" t="s">
        <v>21</v>
      </c>
      <c r="B16" s="1" t="s">
        <v>263</v>
      </c>
      <c r="C16" s="1" t="s">
        <v>346</v>
      </c>
      <c r="D16" s="1" t="s">
        <v>23</v>
      </c>
      <c r="E16" s="1" t="s">
        <v>12</v>
      </c>
    </row>
    <row r="17" spans="1:5" ht="15.75" customHeight="1">
      <c r="A17" s="1" t="s">
        <v>21</v>
      </c>
      <c r="B17" s="1" t="s">
        <v>263</v>
      </c>
      <c r="C17" s="1" t="s">
        <v>24</v>
      </c>
      <c r="D17" s="1" t="s">
        <v>23</v>
      </c>
      <c r="E17" s="1" t="s">
        <v>12</v>
      </c>
    </row>
    <row r="18" spans="1:5" ht="15.75" customHeight="1">
      <c r="E18" s="2">
        <f>COUNTIF(E2:E17,"Yes")/COUNTA(E2:E17)</f>
        <v>0.125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E10"/>
  <sheetViews>
    <sheetView workbookViewId="0"/>
  </sheetViews>
  <sheetFormatPr defaultColWidth="12.7109375" defaultRowHeight="15.75" customHeight="1"/>
  <sheetData>
    <row r="1" spans="1:5" ht="15.75" customHeight="1">
      <c r="A1" s="1" t="s">
        <v>0</v>
      </c>
      <c r="B1" s="1" t="s">
        <v>112</v>
      </c>
      <c r="C1" s="1" t="s">
        <v>347</v>
      </c>
      <c r="D1" s="1" t="s">
        <v>6</v>
      </c>
      <c r="E1" s="1" t="s">
        <v>262</v>
      </c>
    </row>
    <row r="2" spans="1:5" ht="15.75" customHeight="1">
      <c r="A2" s="1" t="s">
        <v>26</v>
      </c>
      <c r="B2" s="1" t="s">
        <v>121</v>
      </c>
      <c r="C2" s="1" t="s">
        <v>9</v>
      </c>
      <c r="D2" s="1" t="s">
        <v>348</v>
      </c>
      <c r="E2" s="1" t="s">
        <v>18</v>
      </c>
    </row>
    <row r="3" spans="1:5" ht="15.75" customHeight="1">
      <c r="A3" s="1" t="s">
        <v>8</v>
      </c>
      <c r="B3" s="1" t="s">
        <v>43</v>
      </c>
      <c r="C3" s="1" t="s">
        <v>349</v>
      </c>
      <c r="D3" s="1" t="s">
        <v>350</v>
      </c>
      <c r="E3" s="1" t="s">
        <v>18</v>
      </c>
    </row>
    <row r="4" spans="1:5" ht="15.75" customHeight="1">
      <c r="A4" s="1" t="s">
        <v>8</v>
      </c>
      <c r="B4" s="1" t="s">
        <v>43</v>
      </c>
      <c r="C4" s="1" t="s">
        <v>351</v>
      </c>
      <c r="D4" s="1" t="s">
        <v>350</v>
      </c>
      <c r="E4" s="1" t="s">
        <v>18</v>
      </c>
    </row>
    <row r="5" spans="1:5" ht="15.75" customHeight="1">
      <c r="A5" s="1" t="s">
        <v>8</v>
      </c>
      <c r="B5" s="1" t="s">
        <v>43</v>
      </c>
      <c r="C5" s="1" t="s">
        <v>352</v>
      </c>
      <c r="D5" s="1" t="s">
        <v>350</v>
      </c>
      <c r="E5" s="1" t="s">
        <v>12</v>
      </c>
    </row>
    <row r="6" spans="1:5" ht="15.75" customHeight="1">
      <c r="A6" s="1" t="s">
        <v>8</v>
      </c>
      <c r="B6" s="1" t="s">
        <v>43</v>
      </c>
      <c r="C6" s="1" t="s">
        <v>353</v>
      </c>
      <c r="D6" s="1" t="s">
        <v>350</v>
      </c>
      <c r="E6" s="1" t="s">
        <v>12</v>
      </c>
    </row>
    <row r="7" spans="1:5" ht="15.75" customHeight="1">
      <c r="A7" s="1" t="s">
        <v>8</v>
      </c>
      <c r="B7" s="1" t="s">
        <v>354</v>
      </c>
      <c r="C7" s="1" t="s">
        <v>355</v>
      </c>
      <c r="D7" s="1" t="s">
        <v>350</v>
      </c>
      <c r="E7" s="1" t="s">
        <v>12</v>
      </c>
    </row>
    <row r="8" spans="1:5" ht="15.75" customHeight="1">
      <c r="A8" s="1" t="s">
        <v>8</v>
      </c>
      <c r="B8" s="1" t="s">
        <v>43</v>
      </c>
      <c r="C8" s="1" t="s">
        <v>356</v>
      </c>
      <c r="D8" s="1" t="s">
        <v>357</v>
      </c>
      <c r="E8" s="1" t="s">
        <v>12</v>
      </c>
    </row>
    <row r="9" spans="1:5" ht="15.75" customHeight="1">
      <c r="A9" s="1" t="s">
        <v>21</v>
      </c>
      <c r="B9" s="1" t="s">
        <v>38</v>
      </c>
      <c r="C9" s="1" t="s">
        <v>9</v>
      </c>
      <c r="D9" s="1" t="s">
        <v>23</v>
      </c>
      <c r="E9" s="1" t="s">
        <v>12</v>
      </c>
    </row>
    <row r="10" spans="1:5" ht="15.75" customHeight="1">
      <c r="E10" s="2">
        <f>COUNTIF(E2:E9, "Yes")/COUNTA(E2:E9)</f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results</vt:lpstr>
      <vt:lpstr>Java0</vt:lpstr>
      <vt:lpstr>Java1</vt:lpstr>
      <vt:lpstr>Java5</vt:lpstr>
      <vt:lpstr>Java8</vt:lpstr>
      <vt:lpstr>Java13</vt:lpstr>
      <vt:lpstr>Java16</vt:lpstr>
      <vt:lpstr>Java18</vt:lpstr>
      <vt:lpstr>Java20</vt:lpstr>
      <vt:lpstr>Java25</vt:lpstr>
      <vt:lpstr>Java29</vt:lpstr>
      <vt:lpstr>Java32</vt:lpstr>
      <vt:lpstr>Java40</vt:lpstr>
      <vt:lpstr>Java44</vt:lpstr>
      <vt:lpstr>Java46</vt:lpstr>
      <vt:lpstr>Java48</vt:lpstr>
      <vt:lpstr>Java55</vt:lpstr>
      <vt:lpstr>Java57</vt:lpstr>
      <vt:lpstr>Java58</vt:lpstr>
      <vt:lpstr>Java65</vt:lpstr>
      <vt:lpstr>Java69</vt:lpstr>
      <vt:lpstr>Java76</vt:lpstr>
      <vt:lpstr>Java109</vt:lpstr>
      <vt:lpstr>Java110</vt:lpstr>
      <vt:lpstr>Java124</vt:lpstr>
      <vt:lpstr>Java129</vt:lpstr>
      <vt:lpstr>Java140</vt:lpstr>
      <vt:lpstr>Java141</vt:lpstr>
      <vt:lpstr>Java156</vt:lpstr>
      <vt:lpstr>Java160</vt:lpstr>
      <vt:lpstr>Java162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İhsan Gök</cp:lastModifiedBy>
  <dcterms:modified xsi:type="dcterms:W3CDTF">2026-04-26T11:12:32Z</dcterms:modified>
</cp:coreProperties>
</file>